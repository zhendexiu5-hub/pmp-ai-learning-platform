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46bb10596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69c73df5f954902"/>
    <x:sheet xmlns:r="http://schemas.openxmlformats.org/officeDocument/2006/relationships" name="Knowledge" sheetId="2" r:id="R39eff229576b4527"/>
    <x:sheet xmlns:r="http://schemas.openxmlformats.org/officeDocument/2006/relationships" name="Practice Log" sheetId="3" r:id="R495cbdff01104d24"/>
    <x:sheet xmlns:r="http://schemas.openxmlformats.org/officeDocument/2006/relationships" name="Review Plan" sheetId="4" r:id="Rc1271cd5aa774cea"/>
    <x:sheet xmlns:r="http://schemas.openxmlformats.org/officeDocument/2006/relationships" name="Question Index" sheetId="5" r:id="R907078a7f3374d1d"/>
    <x:sheet xmlns:r="http://schemas.openxmlformats.org/officeDocument/2006/relationships" name="Case Index" sheetId="6" r:id="R00cbe704d3e5447c"/>
    <x:sheet xmlns:r="http://schemas.openxmlformats.org/officeDocument/2006/relationships" name="Sources" sheetId="7" r:id="R1b563501718c405a"/>
    <x:sheet xmlns:r="http://schemas.openxmlformats.org/officeDocument/2006/relationships" name="Lists" sheetId="8" r:id="Rb3c4ffaa5468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b/>
      <x:sz val="14"/>
      <x:color rgb="FF2F75B5"/>
      <x:name val="Carlito"/>
    </x:font>
    <x:font>
      <x:b/>
      <x:sz val="14"/>
      <x:color rgb="FF0F766E"/>
      <x:name val="Carlito"/>
    </x:font>
    <x:font>
      <x:sz val="11"/>
      <x:color rgb="FF065F46"/>
      <x:name val="Carlito"/>
    </x:font>
    <x:font>
      <x:sz val="9"/>
      <x:color rgb="FF6B728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13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200" fontId="2" fillId="0" borderId="4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200" fontId="2" fillId="0" borderId="6" xfId="0" applyNumberFormat="1" applyFont="1" applyFill="1" applyBorder="1" applyAlignment="1">
      <x:alignment vertical="top"/>
    </x:xf>
    <x:xf numFmtId="201" fontId="2" fillId="0" borderId="4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1" fontId="2" fillId="0" borderId="6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4" fillId="3" borderId="8" xfId="0" applyNumberFormat="1" applyFont="1" applyFill="1" applyBorder="1"/>
    <x:xf numFmtId="0" fontId="4" fillId="3" borderId="10" xfId="0" applyNumberFormat="1" applyFont="1" applyFill="1" applyBorder="1"/>
    <x:xf numFmtId="0" fontId="4" fillId="3" borderId="12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10" xfId="0" applyNumberFormat="1" applyFont="1" applyFill="1" applyBorder="1" applyAlignment="1">
      <x:alignment horizontal="center"/>
    </x:xf>
    <x:xf numFmtId="0" fontId="4" fillId="3" borderId="12" xfId="0" applyNumberFormat="1" applyFont="1" applyFill="1" applyBorder="1" applyAlignment="1">
      <x:alignment horizontal="center"/>
    </x:xf>
    <x:xf numFmtId="0" fontId="5" fillId="3" borderId="8" xfId="0" applyNumberFormat="1" applyFont="1" applyFill="1" applyBorder="1"/>
    <x:xf numFmtId="0" fontId="5" fillId="3" borderId="10" xfId="0" applyNumberFormat="1" applyFont="1" applyFill="1" applyBorder="1"/>
    <x:xf numFmtId="0" fontId="5" fillId="3" borderId="12" xfId="0" applyNumberFormat="1" applyFont="1" applyFill="1" applyBorder="1"/>
    <x:xf numFmtId="0" fontId="5" fillId="3" borderId="8" xfId="0" applyNumberFormat="1" applyFont="1" applyFill="1" applyBorder="1" applyAlignment="1">
      <x:alignment horizontal="center"/>
    </x:xf>
    <x:xf numFmtId="0" fontId="5" fillId="3" borderId="10" xfId="0" applyNumberFormat="1" applyFont="1" applyFill="1" applyBorder="1" applyAlignment="1">
      <x:alignment horizontal="center"/>
    </x:xf>
    <x:xf numFmtId="0" fontId="5" fillId="3" borderId="12" xfId="0" applyNumberFormat="1" applyFont="1" applyFill="1" applyBorder="1" applyAlignment="1">
      <x:alignment horizontal="center"/>
    </x:xf>
    <x:xf numFmtId="201" fontId="5" fillId="3" borderId="1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</x:cellXfs>
  <x:cellStyles count="1">
    <x:cellStyle name="Normal" xfId="0"/>
  </x:cellStyles>
  <x:dxfs count="6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7b382cdb74fbb" /><Relationship Type="http://schemas.openxmlformats.org/officeDocument/2006/relationships/theme" Target="/xl/theme/theme1.xml" Id="R2777ab74863642ce" /><Relationship Type="http://schemas.openxmlformats.org/officeDocument/2006/relationships/sharedStrings" Target="/xl/sharedStrings.xml" Id="R2490db9f7a6c4589" /><Relationship Type="http://schemas.openxmlformats.org/officeDocument/2006/relationships/worksheet" Target="/xl/worksheets/sheet1.xml" Id="Rf69c73df5f954902" /><Relationship Type="http://schemas.openxmlformats.org/officeDocument/2006/relationships/worksheet" Target="/xl/worksheets/sheet2.xml" Id="R39eff229576b4527" /><Relationship Type="http://schemas.openxmlformats.org/officeDocument/2006/relationships/worksheet" Target="/xl/worksheets/sheet3.xml" Id="R495cbdff01104d24" /><Relationship Type="http://schemas.openxmlformats.org/officeDocument/2006/relationships/worksheet" Target="/xl/worksheets/sheet4.xml" Id="Rc1271cd5aa774cea" /><Relationship Type="http://schemas.openxmlformats.org/officeDocument/2006/relationships/worksheet" Target="/xl/worksheets/sheet5.xml" Id="R907078a7f3374d1d" /><Relationship Type="http://schemas.openxmlformats.org/officeDocument/2006/relationships/worksheet" Target="/xl/worksheets/sheet6.xml" Id="R00cbe704d3e5447c" /><Relationship Type="http://schemas.openxmlformats.org/officeDocument/2006/relationships/worksheet" Target="/xl/worksheets/sheet7.xml" Id="R1b563501718c405a" /><Relationship Type="http://schemas.openxmlformats.org/officeDocument/2006/relationships/worksheet" Target="/xl/worksheets/sheet8.xml" Id="Rb3c4ffaa546842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30e0f76b1f4df3" /><Relationship Type="http://schemas.openxmlformats.org/officeDocument/2006/relationships/chart" Target="/xl/drawings/charts/chart2.xml" Id="R9d0aa913d27a42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Knowledge points by domain / 领域覆盖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'Dashboard'!$J$4:$J$9</c:f>
              <c:strCache>
                <c:ptCount val="0"/>
              </c:strCache>
            </c:strRef>
          </c:cat>
          <c:val>
            <c:numRef>
              <c:f>'Dashboard'!$K$4:$K$9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mastery status / 当前掌握状态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'Dashboard'!$J$12:$J$15</c:f>
              <c:strCache>
                <c:ptCount val="0"/>
              </c:strCache>
            </c:strRef>
          </c:cat>
          <c:val>
            <c:numRef>
              <c:f>'Dashboard'!$K$12:$K$15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30e0f76b1f4df3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0aa913d27a427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nowledgeTable" displayName="KnowledgeTable" ref="A1:Q210" headerRowCount="1" totalsRowCount="0" totalsRowShown="0">
  <x:tableColumns count="17">
    <x:tableColumn id="1" name="ID"/>
    <x:tableColumn id="2" name="Domain"/>
    <x:tableColumn id="3" name="Task"/>
    <x:tableColumn id="4" name="Chapter"/>
    <x:tableColumn id="5" name="Priority"/>
    <x:tableColumn id="6" name="Approach"/>
    <x:tableColumn id="7" name="中文术语"/>
    <x:tableColumn id="8" name="English Term"/>
    <x:tableColumn id="9" name="考试理解 Exam Focus"/>
    <x:tableColumn id="10" name="易错提醒 Common Trap"/>
    <x:tableColumn id="11" name="Status 状态"/>
    <x:tableColumn id="12" name="Last Review"/>
    <x:tableColumn id="13" name="Next Review"/>
    <x:tableColumn id="14" name="Confidence 1-5"/>
    <x:tableColumn id="15" name="Attempts"/>
    <x:tableColumn id="16" name="Correct"/>
    <x:tableColumn id="17" name="Accura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acticeLogTable" displayName="PracticeLogTable" ref="A1:K4" headerRowCount="1" totalsRowCount="0" totalsRowShown="0">
  <x:tableColumns count="11">
    <x:tableColumn id="1" name="Date"/>
    <x:tableColumn id="2" name="Question ID"/>
    <x:tableColumn id="3" name="Knowledge ID"/>
    <x:tableColumn id="4" name="My Answer"/>
    <x:tableColumn id="5" name="Correct Answer"/>
    <x:tableColumn id="6" name="Result"/>
    <x:tableColumn id="7" name="Confidence 1-5"/>
    <x:tableColumn id="8" name="Time Seconds"/>
    <x:tableColumn id="9" name="Error Code"/>
    <x:tableColumn id="10" name="Reflection / Notes"/>
    <x:tableColumn id="11" name="Next Review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viewPlanTable" displayName="ReviewPlanTable" ref="A1:H210" headerRowCount="1" totalsRowCount="0" totalsRowShown="0">
  <x:tableColumns count="8">
    <x:tableColumn id="1" name="Knowledge ID"/>
    <x:tableColumn id="2" name="中文术语"/>
    <x:tableColumn id="3" name="English Term"/>
    <x:tableColumn id="4" name="Priority"/>
    <x:tableColumn id="5" name="Status"/>
    <x:tableColumn id="6" name="Next Review"/>
    <x:tableColumn id="7" name="Days Until Due"/>
    <x:tableColumn id="8" name="Review Action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QuestionIndexTable" displayName="QuestionIndexTable" ref="A1:G64" headerRowCount="1" totalsRowCount="0" totalsRowShown="0">
  <x:tableColumns count="7">
    <x:tableColumn id="1" name="Question ID"/>
    <x:tableColumn id="2" name="Domain"/>
    <x:tableColumn id="3" name="Task"/>
    <x:tableColumn id="4" name="Approach"/>
    <x:tableColumn id="5" name="Difficulty"/>
    <x:tableColumn id="6" name="Stem Preview"/>
    <x:tableColumn id="7" name="Primary Tra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eIndexTable" displayName="CaseIndexTable" ref="A1:F21" headerRowCount="1" totalsRowCount="0" totalsRowShown="0">
  <x:tableColumns count="6">
    <x:tableColumn id="1" name="Case ID"/>
    <x:tableColumn id="2" name="Title"/>
    <x:tableColumn id="3" name="Domain"/>
    <x:tableColumn id="4" name="Approach"/>
    <x:tableColumn id="5" name="Tags"/>
    <x:tableColumn id="6" name="Scenario Preview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c0edb5564449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f596ba2c0844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da3916401443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b2f8fd0a9c4b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c4df3bc8b745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025782c9ee45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" hidden="0" customWidth="1"/>
    <x:col min="4" max="4" width="24" hidden="0" customWidth="1"/>
    <x:col min="5" max="5" width="14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35" t="str">
        <x:v>PMP 2026 学习仪表板 / Study Dashboard</x:v>
      </x:c>
      <x:c r="B1" s="35"/>
      <x:c r="C1" s="35"/>
      <x:c r="D1" s="35"/>
      <x:c r="E1" s="35"/>
      <x:c r="F1" s="35"/>
      <x:c r="G1" s="35"/>
      <x:c r="H1" s="35"/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J3" s="63" t="str">
        <x:v>Domain</x:v>
      </x:c>
      <x:c r="K3" s="63" t="str">
        <x:v>Count</x:v>
      </x:c>
    </x:row>
    <x:row r="4" ht="30" customHeight="1">
      <x:c r="A4" s="12" t="str">
        <x:v>KPI</x:v>
      </x:c>
      <x:c r="B4" s="14" t="str">
        <x:v>Value</x:v>
      </x:c>
      <x:c r="D4" s="12" t="str">
        <x:v>KPI</x:v>
      </x:c>
      <x:c r="E4" s="14" t="str">
        <x:v>Value</x:v>
      </x:c>
      <x:c r="J4" s="63" t="str">
        <x:v>People</x:v>
      </x:c>
      <x:c r="K4" s="63" t="n">
        <x:f>COUNTIF('Knowledge'!$B$2:$B$500,J4)</x:f>
        <x:v>35</x:v>
      </x:c>
    </x:row>
    <x:row r="5">
      <x:c r="A5" s="37" t="str">
        <x:v>Total Knowledge Points</x:v>
      </x:c>
      <x:c r="B5" s="46" t="n">
        <x:f>COUNTA('Knowledge'!$A$2:$A$500)</x:f>
        <x:v>209</x:v>
      </x:c>
      <x:c r="D5" s="37" t="str">
        <x:v>Practice Attempts</x:v>
      </x:c>
      <x:c r="E5" s="52" t="n">
        <x:f>COUNTA('Practice Log'!$B$2:$B$500)</x:f>
        <x:v>3</x:v>
      </x:c>
      <x:c r="J5" s="63" t="str">
        <x:v>Process</x:v>
      </x:c>
      <x:c r="K5" s="63" t="n">
        <x:f>COUNTIF('Knowledge'!$B$2:$B$500,J5)</x:f>
        <x:v>73</x:v>
      </x:c>
    </x:row>
    <x:row r="6">
      <x:c r="A6" s="39" t="str">
        <x:v>Mastered</x:v>
      </x:c>
      <x:c r="B6" s="47" t="n">
        <x:f>COUNTIF('Knowledge'!$K$2:$K$500,"Mastered 已掌握")</x:f>
        <x:v>0</x:v>
      </x:c>
      <x:c r="D6" s="39" t="str">
        <x:v>Correct</x:v>
      </x:c>
      <x:c r="E6" s="53" t="n">
        <x:f>COUNTIF('Practice Log'!$F$2:$F$500,"Correct 正确")</x:f>
        <x:v>2</x:v>
      </x:c>
      <x:c r="J6" s="63" t="str">
        <x:v>Business Environment</x:v>
      </x:c>
      <x:c r="K6" s="63" t="n">
        <x:f>COUNTIF('Knowledge'!$B$2:$B$500,J6)</x:f>
        <x:v>44</x:v>
      </x:c>
    </x:row>
    <x:row r="7">
      <x:c r="A7" s="39" t="str">
        <x:v>Unstable</x:v>
      </x:c>
      <x:c r="B7" s="47" t="n">
        <x:f>COUNTIF('Knowledge'!$K$2:$K$500,"Unstable 掌握不稳定")</x:f>
        <x:v>2</x:v>
      </x:c>
      <x:c r="D7" s="39" t="str">
        <x:v>Accuracy</x:v>
      </x:c>
      <x:c r="E7" s="55" t="n">
        <x:f>IF(E5=0,"",E6/E5)</x:f>
        <x:v>0.6666666666666666</x:v>
      </x:c>
      <x:c r="J7" s="63" t="str">
        <x:v>Agile</x:v>
      </x:c>
      <x:c r="K7" s="63" t="n">
        <x:f>COUNTIF('Knowledge'!$B$2:$B$500,J7)</x:f>
        <x:v>22</x:v>
      </x:c>
    </x:row>
    <x:row r="8">
      <x:c r="A8" s="41" t="str">
        <x:v>Due / Overdue</x:v>
      </x:c>
      <x:c r="B8" s="48" t="n">
        <x:f>COUNTIFS('Knowledge'!$M$2:$M$500,"&lt;="&amp;TODAY(),'Knowledge'!$M$2:$M$500,"&lt;&gt;")</x:f>
        <x:v>0</x:v>
      </x:c>
      <x:c r="D8" s="41" t="str">
        <x:v>Questions in Library</x:v>
      </x:c>
      <x:c r="E8" s="54" t="n">
        <x:f>COUNTA('Question Index'!$A$2:$A$500)</x:f>
        <x:v>63</x:v>
      </x:c>
      <x:c r="J8" s="63" t="str">
        <x:v>Hybrid</x:v>
      </x:c>
      <x:c r="K8" s="63" t="n">
        <x:f>COUNTIF('Knowledge'!$B$2:$B$500,J8)</x:f>
        <x:v>6</x:v>
      </x:c>
    </x:row>
    <x:row r="9">
      <x:c r="J9" s="63" t="str">
        <x:v>AI + Sustainability</x:v>
      </x:c>
      <x:c r="K9" s="63" t="n">
        <x:f>COUNTIF('Knowledge'!$B$2:$B$500,"AI")+COUNTIF('Knowledge'!$B$2:$B$500,"Sustainability")</x:f>
        <x:v>17</x:v>
      </x:c>
    </x:row>
    <x:row r="10">
      <x:c r="A10" s="58" t="str">
        <x:v>Recommended next step / 建议下一步</x:v>
      </x:c>
      <x:c r="B10" s="58"/>
      <x:c r="C10" s="58"/>
      <x:c r="D10" s="58"/>
      <x:c r="E10" s="58"/>
      <x:c r="F10" s="58"/>
      <x:c r="G10" s="58"/>
      <x:c r="H10" s="58"/>
      <x:c r="J10" s="63"/>
      <x:c r="K10" s="63"/>
    </x:row>
    <x:row r="11">
      <x:c r="A11" s="62" t="str">
        <x:v>复测 Project vs Operations：先判断是否创造独特成果，还是持续重复维持业务；完成变式题后再把状态改为 Mastered。</x:v>
      </x:c>
      <x:c r="B11" s="62"/>
      <x:c r="C11" s="62"/>
      <x:c r="D11" s="62"/>
      <x:c r="E11" s="62"/>
      <x:c r="F11" s="62"/>
      <x:c r="G11" s="62"/>
      <x:c r="H11" s="62"/>
      <x:c r="J11" s="63" t="str">
        <x:v>Status</x:v>
      </x:c>
      <x:c r="K11" s="63" t="str">
        <x:v>Count</x:v>
      </x:c>
    </x:row>
    <x:row r="12">
      <x:c r="A12" s="62"/>
      <x:c r="B12" s="62"/>
      <x:c r="C12" s="62"/>
      <x:c r="D12" s="62"/>
      <x:c r="E12" s="62"/>
      <x:c r="F12" s="62"/>
      <x:c r="G12" s="62"/>
      <x:c r="H12" s="62"/>
      <x:c r="J12" s="63" t="str">
        <x:v>Not Started 未学</x:v>
      </x:c>
      <x:c r="K12" s="63" t="n">
        <x:f>COUNTIF('Knowledge'!$K$2:$K$500,J12)</x:f>
        <x:v>207</x:v>
      </x:c>
    </x:row>
    <x:row r="13">
      <x:c r="A13" s="62"/>
      <x:c r="B13" s="62"/>
      <x:c r="C13" s="62"/>
      <x:c r="D13" s="62"/>
      <x:c r="E13" s="62"/>
      <x:c r="F13" s="62"/>
      <x:c r="G13" s="62"/>
      <x:c r="H13" s="62"/>
      <x:c r="J13" s="63" t="str">
        <x:v>Learning 学习中</x:v>
      </x:c>
      <x:c r="K13" s="63" t="n">
        <x:f>COUNTIF('Knowledge'!$K$2:$K$500,J13)</x:f>
        <x:v>0</x:v>
      </x:c>
    </x:row>
    <x:row r="14">
      <x:c r="J14" s="63" t="str">
        <x:v>Unstable 掌握不稳定</x:v>
      </x:c>
      <x:c r="K14" s="63" t="n">
        <x:f>COUNTIF('Knowledge'!$K$2:$K$500,J14)</x:f>
        <x:v>2</x:v>
      </x:c>
    </x:row>
    <x:row r="15">
      <x:c r="J15" s="63" t="str">
        <x:v>Mastered 已掌握</x:v>
      </x:c>
      <x:c r="K15" s="63" t="n">
        <x:f>COUNTIF('Knowledge'!$K$2:$K$500,J15)</x:f>
        <x:v>0</x:v>
      </x:c>
    </x:row>
  </x:sheetData>
  <x:mergeCells>
    <x:mergeCell ref="A1:H2"/>
    <x:mergeCell ref="A10:H10"/>
    <x:mergeCell ref="A11:H13"/>
  </x:mergeCells>
  <x:pageMargins left="0.7" right="0.7" top="0.75" bottom="0.75" header="0.3" footer="0.3"/>
  <x:drawing xmlns:r="http://schemas.openxmlformats.org/officeDocument/2006/relationships" r:id="Rf9c0edb55644490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3" hidden="0" customWidth="1"/>
    <x:col min="4" max="4" width="9" hidden="0" customWidth="1"/>
    <x:col min="5" max="5" width="23" hidden="0" customWidth="1"/>
    <x:col min="6" max="6" width="13" hidden="0" customWidth="1"/>
    <x:col min="7" max="7" width="23" hidden="0" customWidth="1"/>
    <x:col min="8" max="8" width="23" hidden="0" customWidth="1"/>
    <x:col min="9" max="9" width="40" hidden="0" customWidth="1"/>
    <x:col min="10" max="10" width="40" hidden="0" customWidth="1"/>
    <x:col min="11" max="11" width="24" hidden="0" customWidth="1"/>
    <x:col min="12" max="12" width="13" hidden="0" customWidth="1"/>
    <x:col min="13" max="13" width="13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12" t="str">
        <x:v>ID</x:v>
      </x:c>
      <x:c r="B1" s="13" t="str">
        <x:v>Domain</x:v>
      </x:c>
      <x:c r="C1" s="13" t="str">
        <x:v>Task</x:v>
      </x:c>
      <x:c r="D1" s="13" t="str">
        <x:v>Chapter</x:v>
      </x:c>
      <x:c r="E1" s="13" t="str">
        <x:v>Priority</x:v>
      </x:c>
      <x:c r="F1" s="13" t="str">
        <x:v>Approach</x:v>
      </x:c>
      <x:c r="G1" s="13" t="str">
        <x:v>中文术语</x:v>
      </x:c>
      <x:c r="H1" s="13" t="str">
        <x:v>English Term</x:v>
      </x:c>
      <x:c r="I1" s="13" t="str">
        <x:v>考试理解 Exam Focus</x:v>
      </x:c>
      <x:c r="J1" s="13" t="str">
        <x:v>易错提醒 Common Trap</x:v>
      </x:c>
      <x:c r="K1" s="13" t="str">
        <x:v>Status 状态</x:v>
      </x:c>
      <x:c r="L1" s="13" t="str">
        <x:v>Last Review</x:v>
      </x:c>
      <x:c r="M1" s="13" t="str">
        <x:v>Next Review</x:v>
      </x:c>
      <x:c r="N1" s="13" t="str">
        <x:v>Confidence 1-5</x:v>
      </x:c>
      <x:c r="O1" s="13" t="str">
        <x:v>Attempts</x:v>
      </x:c>
      <x:c r="P1" s="13" t="str">
        <x:v>Correct</x:v>
      </x:c>
      <x:c r="Q1" s="14" t="str">
        <x:v>Accuracy</x:v>
      </x:c>
    </x:row>
    <x:row r="2">
      <x:c r="A2" s="19" t="str">
        <x:v>KP-001</x:v>
      </x:c>
      <x:c r="B2" s="19" t="str">
        <x:v>Foundation</x:v>
      </x:c>
      <x:c r="C2" s="19" t="str">
        <x:v>F</x:v>
      </x:c>
      <x:c r="D2" s="19" t="str">
        <x:v>01</x:v>
      </x:c>
      <x:c r="E2" s="19" t="str">
        <x:v>🔴 必考 Must Know</x:v>
      </x:c>
      <x:c r="F2" s="19" t="str">
        <x:v>All</x:v>
      </x:c>
      <x:c r="G2" s="28" t="str">
        <x:v>项目</x:v>
      </x:c>
      <x:c r="H2" s="28" t="str">
        <x:v>Project</x:v>
      </x:c>
      <x:c r="I2" s="28" t="str">
        <x:v>在独特情境中创造价值的临时性倡议；有完成状态</x:v>
      </x:c>
      <x:c r="J2" s="28" t="str">
        <x:v>有期限或目标不自动等于项目</x:v>
      </x:c>
      <x:c r="K2" s="19" t="str">
        <x:v>Unstable 掌握不稳定</x:v>
      </x:c>
      <x:c r="L2" s="22" t="n">
        <x:v>46251</x:v>
      </x:c>
      <x:c r="M2" s="22" t="n">
        <x:v>46252</x:v>
      </x:c>
      <x:c r="N2" s="19" t="n">
        <x:v>3</x:v>
      </x:c>
      <x:c r="O2" s="19" t="n">
        <x:v>1</x:v>
      </x:c>
      <x:c r="P2" s="19" t="n">
        <x:v>1</x:v>
      </x:c>
      <x:c r="Q2" s="25" t="n">
        <x:f>IF(O2=0,"",P2/O2)</x:f>
        <x:v>1</x:v>
      </x:c>
    </x:row>
    <x:row r="3">
      <x:c r="A3" s="20" t="str">
        <x:v>KP-002</x:v>
      </x:c>
      <x:c r="B3" s="20" t="str">
        <x:v>Foundation</x:v>
      </x:c>
      <x:c r="C3" s="20" t="str">
        <x:v>F</x:v>
      </x:c>
      <x:c r="D3" s="20" t="str">
        <x:v>01</x:v>
      </x:c>
      <x:c r="E3" s="20" t="str">
        <x:v>🔴 必考 Must Know</x:v>
      </x:c>
      <x:c r="F3" s="20" t="str">
        <x:v>All</x:v>
      </x:c>
      <x:c r="G3" s="29" t="str">
        <x:v>运营</x:v>
      </x:c>
      <x:c r="H3" s="29" t="str">
        <x:v>Operations</x:v>
      </x:c>
      <x:c r="I3" s="29" t="str">
        <x:v>持续、重复地维持业务</x:v>
      </x:c>
      <x:c r="J3" s="29" t="str">
        <x:v>限时专项运营仍可能是运营</x:v>
      </x:c>
      <x:c r="K3" s="20" t="str">
        <x:v>Unstable 掌握不稳定</x:v>
      </x:c>
      <x:c r="L3" s="23" t="n">
        <x:v>46251</x:v>
      </x:c>
      <x:c r="M3" s="23" t="n">
        <x:v>46252</x:v>
      </x:c>
      <x:c r="N3" s="20" t="n">
        <x:v>3</x:v>
      </x:c>
      <x:c r="O3" s="20" t="n">
        <x:v>2</x:v>
      </x:c>
      <x:c r="P3" s="20" t="n">
        <x:v>1</x:v>
      </x:c>
      <x:c r="Q3" s="26" t="n">
        <x:f>IF(O3=0,"",P3/O3)</x:f>
        <x:v>0.5</x:v>
      </x:c>
    </x:row>
    <x:row r="4">
      <x:c r="A4" s="20" t="str">
        <x:v>KP-003</x:v>
      </x:c>
      <x:c r="B4" s="20" t="str">
        <x:v>Foundation</x:v>
      </x:c>
      <x:c r="C4" s="20" t="str">
        <x:v>F</x:v>
      </x:c>
      <x:c r="D4" s="20" t="str">
        <x:v>01</x:v>
      </x:c>
      <x:c r="E4" s="20" t="str">
        <x:v>🟠 高频 High Frequency</x:v>
      </x:c>
      <x:c r="F4" s="20" t="str">
        <x:v>All</x:v>
      </x:c>
      <x:c r="G4" s="29" t="str">
        <x:v>项目群</x:v>
      </x:c>
      <x:c r="H4" s="29" t="str">
        <x:v>Program</x:v>
      </x:c>
      <x:c r="I4" s="29" t="str">
        <x:v>协调管理相关项目以获得单独管理无法得到的收益</x:v>
      </x:c>
      <x:c r="J4" s="29" t="str">
        <x:v>不是大型项目的同义词</x:v>
      </x:c>
      <x:c r="K4" s="20" t="str">
        <x:v>Not Started 未学</x:v>
      </x:c>
      <x:c r="L4" s="23"/>
      <x:c r="M4" s="23"/>
      <x:c r="N4" s="20"/>
      <x:c r="O4" s="20" t="n">
        <x:v>0</x:v>
      </x:c>
      <x:c r="P4" s="20" t="n">
        <x:v>0</x:v>
      </x:c>
      <x:c r="Q4" s="26" t="str">
        <x:f>IF(O4=0,"",P4/O4)</x:f>
      </x:c>
    </x:row>
    <x:row r="5">
      <x:c r="A5" s="20" t="str">
        <x:v>KP-004</x:v>
      </x:c>
      <x:c r="B5" s="20" t="str">
        <x:v>Foundation</x:v>
      </x:c>
      <x:c r="C5" s="20" t="str">
        <x:v>F</x:v>
      </x:c>
      <x:c r="D5" s="20" t="str">
        <x:v>01</x:v>
      </x:c>
      <x:c r="E5" s="20" t="str">
        <x:v>🟠 高频 High Frequency</x:v>
      </x:c>
      <x:c r="F5" s="20" t="str">
        <x:v>All</x:v>
      </x:c>
      <x:c r="G5" s="29" t="str">
        <x:v>项目组合</x:v>
      </x:c>
      <x:c r="H5" s="29" t="str">
        <x:v>Portfolio</x:v>
      </x:c>
      <x:c r="I5" s="29" t="str">
        <x:v>为战略目标集中管理项目、项目群和运营</x:v>
      </x:c>
      <x:c r="J5" s="29" t="str">
        <x:v>组成部分不必相互依赖</x:v>
      </x:c>
      <x:c r="K5" s="20" t="str">
        <x:v>Not Started 未学</x:v>
      </x:c>
      <x:c r="L5" s="23"/>
      <x:c r="M5" s="23"/>
      <x:c r="N5" s="20"/>
      <x:c r="O5" s="20" t="n">
        <x:v>0</x:v>
      </x:c>
      <x:c r="P5" s="20" t="n">
        <x:v>0</x:v>
      </x:c>
      <x:c r="Q5" s="26" t="str">
        <x:f>IF(O5=0,"",P5/O5)</x:f>
      </x:c>
    </x:row>
    <x:row r="6">
      <x:c r="A6" s="20" t="str">
        <x:v>KP-005</x:v>
      </x:c>
      <x:c r="B6" s="20" t="str">
        <x:v>Foundation</x:v>
      </x:c>
      <x:c r="C6" s="20" t="str">
        <x:v>F</x:v>
      </x:c>
      <x:c r="D6" s="20" t="str">
        <x:v>01</x:v>
      </x:c>
      <x:c r="E6" s="20" t="str">
        <x:v>🔴 必考 Must Know</x:v>
      </x:c>
      <x:c r="F6" s="20" t="str">
        <x:v>All</x:v>
      </x:c>
      <x:c r="G6" s="29" t="str">
        <x:v>价值</x:v>
      </x:c>
      <x:c r="H6" s="29" t="str">
        <x:v>Value</x:v>
      </x:c>
      <x:c r="I6" s="29" t="str">
        <x:v>权衡收益、成本、风险和利益相关方感知</x:v>
      </x:c>
      <x:c r="J6" s="29" t="str">
        <x:v>不等同于只按时按预算</x:v>
      </x:c>
      <x:c r="K6" s="20" t="str">
        <x:v>Not Started 未学</x:v>
      </x:c>
      <x:c r="L6" s="23"/>
      <x:c r="M6" s="23"/>
      <x:c r="N6" s="20"/>
      <x:c r="O6" s="20" t="n">
        <x:v>0</x:v>
      </x:c>
      <x:c r="P6" s="20" t="n">
        <x:v>0</x:v>
      </x:c>
      <x:c r="Q6" s="26" t="str">
        <x:f>IF(O6=0,"",P6/O6)</x:f>
      </x:c>
    </x:row>
    <x:row r="7">
      <x:c r="A7" s="20" t="str">
        <x:v>KP-006</x:v>
      </x:c>
      <x:c r="B7" s="20" t="str">
        <x:v>Foundation</x:v>
      </x:c>
      <x:c r="C7" s="20" t="str">
        <x:v>F</x:v>
      </x:c>
      <x:c r="D7" s="20" t="str">
        <x:v>01</x:v>
      </x:c>
      <x:c r="E7" s="20" t="str">
        <x:v>🟠 高频 High Frequency</x:v>
      </x:c>
      <x:c r="F7" s="20" t="str">
        <x:v>All</x:v>
      </x:c>
      <x:c r="G7" s="29" t="str">
        <x:v>成果</x:v>
      </x:c>
      <x:c r="H7" s="29" t="str">
        <x:v>Outcome</x:v>
      </x:c>
      <x:c r="I7" s="29" t="str">
        <x:v>交付物被使用后产生的变化或结果</x:v>
      </x:c>
      <x:c r="J7" s="29" t="str">
        <x:v>Deliverable 不等于 Outcome</x:v>
      </x:c>
      <x:c r="K7" s="20" t="str">
        <x:v>Not Started 未学</x:v>
      </x:c>
      <x:c r="L7" s="23"/>
      <x:c r="M7" s="23"/>
      <x:c r="N7" s="20"/>
      <x:c r="O7" s="20" t="n">
        <x:v>0</x:v>
      </x:c>
      <x:c r="P7" s="20" t="n">
        <x:v>0</x:v>
      </x:c>
      <x:c r="Q7" s="26" t="str">
        <x:f>IF(O7=0,"",P7/O7)</x:f>
      </x:c>
    </x:row>
    <x:row r="8">
      <x:c r="A8" s="20" t="str">
        <x:v>KP-007</x:v>
      </x:c>
      <x:c r="B8" s="20" t="str">
        <x:v>Foundation</x:v>
      </x:c>
      <x:c r="C8" s="20" t="str">
        <x:v>F</x:v>
      </x:c>
      <x:c r="D8" s="20" t="str">
        <x:v>01</x:v>
      </x:c>
      <x:c r="E8" s="20" t="str">
        <x:v>🟠 高频 High Frequency</x:v>
      </x:c>
      <x:c r="F8" s="20" t="str">
        <x:v>All</x:v>
      </x:c>
      <x:c r="G8" s="29" t="str">
        <x:v>收益</x:v>
      </x:c>
      <x:c r="H8" s="29" t="str">
        <x:v>Benefit</x:v>
      </x:c>
      <x:c r="I8" s="29" t="str">
        <x:v>利益相关方获得的可衡量改善</x:v>
      </x:c>
      <x:c r="J8" s="29" t="str">
        <x:v>项目收尾不代表收益已经全部实现</x:v>
      </x:c>
      <x:c r="K8" s="20" t="str">
        <x:v>Not Started 未学</x:v>
      </x:c>
      <x:c r="L8" s="23"/>
      <x:c r="M8" s="23"/>
      <x:c r="N8" s="20"/>
      <x:c r="O8" s="20" t="n">
        <x:v>0</x:v>
      </x:c>
      <x:c r="P8" s="20" t="n">
        <x:v>0</x:v>
      </x:c>
      <x:c r="Q8" s="26" t="str">
        <x:f>IF(O8=0,"",P8/O8)</x:f>
      </x:c>
    </x:row>
    <x:row r="9">
      <x:c r="A9" s="20" t="str">
        <x:v>KP-008</x:v>
      </x:c>
      <x:c r="B9" s="20" t="str">
        <x:v>Foundation</x:v>
      </x:c>
      <x:c r="C9" s="20" t="str">
        <x:v>F</x:v>
      </x:c>
      <x:c r="D9" s="20" t="str">
        <x:v>01</x:v>
      </x:c>
      <x:c r="E9" s="20" t="str">
        <x:v>🔴 必考 Must Know</x:v>
      </x:c>
      <x:c r="F9" s="20" t="str">
        <x:v>All</x:v>
      </x:c>
      <x:c r="G9" s="29" t="str">
        <x:v>预测型</x:v>
      </x:c>
      <x:c r="H9" s="29" t="str">
        <x:v>Predictive</x:v>
      </x:c>
      <x:c r="I9" s="29" t="str">
        <x:v>需求较稳定，较多前期计划和基准控制</x:v>
      </x:c>
      <x:c r="J9" s="29" t="str">
        <x:v>不能把正式流程理解为拒绝一切变化</x:v>
      </x:c>
      <x:c r="K9" s="20" t="str">
        <x:v>Not Started 未学</x:v>
      </x:c>
      <x:c r="L9" s="23"/>
      <x:c r="M9" s="23"/>
      <x:c r="N9" s="20"/>
      <x:c r="O9" s="20" t="n">
        <x:v>0</x:v>
      </x:c>
      <x:c r="P9" s="20" t="n">
        <x:v>0</x:v>
      </x:c>
      <x:c r="Q9" s="26" t="str">
        <x:f>IF(O9=0,"",P9/O9)</x:f>
      </x:c>
    </x:row>
    <x:row r="10">
      <x:c r="A10" s="20" t="str">
        <x:v>KP-009</x:v>
      </x:c>
      <x:c r="B10" s="20" t="str">
        <x:v>Foundation</x:v>
      </x:c>
      <x:c r="C10" s="20" t="str">
        <x:v>F</x:v>
      </x:c>
      <x:c r="D10" s="20" t="str">
        <x:v>01</x:v>
      </x:c>
      <x:c r="E10" s="20" t="str">
        <x:v>🔴 必考 Must Know</x:v>
      </x:c>
      <x:c r="F10" s="20" t="str">
        <x:v>All</x:v>
      </x:c>
      <x:c r="G10" s="29" t="str">
        <x:v>敏捷/自适应</x:v>
      </x:c>
      <x:c r="H10" s="29" t="str">
        <x:v>Adaptive / Agile</x:v>
      </x:c>
      <x:c r="I10" s="29" t="str">
        <x:v>短周期、反馈驱动、逐步发现与交付</x:v>
      </x:c>
      <x:c r="J10" s="29" t="str">
        <x:v>敏捷不是无计划</x:v>
      </x:c>
      <x:c r="K10" s="20" t="str">
        <x:v>Not Started 未学</x:v>
      </x:c>
      <x:c r="L10" s="23"/>
      <x:c r="M10" s="23"/>
      <x:c r="N10" s="20"/>
      <x:c r="O10" s="20" t="n">
        <x:v>0</x:v>
      </x:c>
      <x:c r="P10" s="20" t="n">
        <x:v>0</x:v>
      </x:c>
      <x:c r="Q10" s="26" t="str">
        <x:f>IF(O10=0,"",P10/O10)</x:f>
      </x:c>
    </x:row>
    <x:row r="11">
      <x:c r="A11" s="20" t="str">
        <x:v>KP-010</x:v>
      </x:c>
      <x:c r="B11" s="20" t="str">
        <x:v>Foundation</x:v>
      </x:c>
      <x:c r="C11" s="20" t="str">
        <x:v>F</x:v>
      </x:c>
      <x:c r="D11" s="20" t="str">
        <x:v>01</x:v>
      </x:c>
      <x:c r="E11" s="20" t="str">
        <x:v>🔴 必考 Must Know</x:v>
      </x:c>
      <x:c r="F11" s="20" t="str">
        <x:v>All</x:v>
      </x:c>
      <x:c r="G11" s="29" t="str">
        <x:v>混合型</x:v>
      </x:c>
      <x:c r="H11" s="29" t="str">
        <x:v>Hybrid</x:v>
      </x:c>
      <x:c r="I11" s="29" t="str">
        <x:v>按工作性质组合预测型与敏捷做法</x:v>
      </x:c>
      <x:c r="J11" s="29" t="str">
        <x:v>不是简单各做一半</x:v>
      </x:c>
      <x:c r="K11" s="20" t="str">
        <x:v>Not Started 未学</x:v>
      </x:c>
      <x:c r="L11" s="23"/>
      <x:c r="M11" s="23"/>
      <x:c r="N11" s="20"/>
      <x:c r="O11" s="20" t="n">
        <x:v>0</x:v>
      </x:c>
      <x:c r="P11" s="20" t="n">
        <x:v>0</x:v>
      </x:c>
      <x:c r="Q11" s="26" t="str">
        <x:f>IF(O11=0,"",P11/O11)</x:f>
      </x:c>
    </x:row>
    <x:row r="12">
      <x:c r="A12" s="20" t="str">
        <x:v>KP-011</x:v>
      </x:c>
      <x:c r="B12" s="20" t="str">
        <x:v>Foundation</x:v>
      </x:c>
      <x:c r="C12" s="20" t="str">
        <x:v>F</x:v>
      </x:c>
      <x:c r="D12" s="20" t="str">
        <x:v>01</x:v>
      </x:c>
      <x:c r="E12" s="20" t="str">
        <x:v>🟠 高频 High Frequency</x:v>
      </x:c>
      <x:c r="F12" s="20" t="str">
        <x:v>All</x:v>
      </x:c>
      <x:c r="G12" s="29" t="str">
        <x:v>裁剪</x:v>
      </x:c>
      <x:c r="H12" s="29" t="str">
        <x:v>Tailoring</x:v>
      </x:c>
      <x:c r="I12" s="29" t="str">
        <x:v>依据情境选择适用方法、工件和治理强度</x:v>
      </x:c>
      <x:c r="J12" s="29" t="str">
        <x:v>不能以裁剪为由绕过合规</x:v>
      </x:c>
      <x:c r="K12" s="20" t="str">
        <x:v>Not Started 未学</x:v>
      </x:c>
      <x:c r="L12" s="23"/>
      <x:c r="M12" s="23"/>
      <x:c r="N12" s="20"/>
      <x:c r="O12" s="20" t="n">
        <x:v>0</x:v>
      </x:c>
      <x:c r="P12" s="20" t="n">
        <x:v>0</x:v>
      </x:c>
      <x:c r="Q12" s="26" t="str">
        <x:f>IF(O12=0,"",P12/O12)</x:f>
      </x:c>
    </x:row>
    <x:row r="13">
      <x:c r="A13" s="20" t="str">
        <x:v>KP-012</x:v>
      </x:c>
      <x:c r="B13" s="20" t="str">
        <x:v>Foundation</x:v>
      </x:c>
      <x:c r="C13" s="20" t="str">
        <x:v>F</x:v>
      </x:c>
      <x:c r="D13" s="20" t="str">
        <x:v>01</x:v>
      </x:c>
      <x:c r="E13" s="20" t="str">
        <x:v>🔴 必考 Must Know</x:v>
      </x:c>
      <x:c r="F13" s="20" t="str">
        <x:v>All</x:v>
      </x:c>
      <x:c r="G13" s="29" t="str">
        <x:v>先做什么题</x:v>
      </x:c>
      <x:c r="H13" s="29" t="str">
        <x:v>First / Next Question</x:v>
      </x:c>
      <x:c r="I13" s="29" t="str">
        <x:v>先识别场景和缺失步骤，再选择行动</x:v>
      </x:c>
      <x:c r="J13" s="29" t="str">
        <x:v>最终方案未必是第一步</x:v>
      </x:c>
      <x:c r="K13" s="20" t="str">
        <x:v>Not Started 未学</x:v>
      </x:c>
      <x:c r="L13" s="23"/>
      <x:c r="M13" s="23"/>
      <x:c r="N13" s="20"/>
      <x:c r="O13" s="20" t="n">
        <x:v>0</x:v>
      </x:c>
      <x:c r="P13" s="20" t="n">
        <x:v>0</x:v>
      </x:c>
      <x:c r="Q13" s="26" t="str">
        <x:f>IF(O13=0,"",P13/O13)</x:f>
      </x:c>
    </x:row>
    <x:row r="14">
      <x:c r="A14" s="20" t="str">
        <x:v>KP-013</x:v>
      </x:c>
      <x:c r="B14" s="20" t="str">
        <x:v>People</x:v>
      </x:c>
      <x:c r="C14" s="20" t="str">
        <x:v>P1</x:v>
      </x:c>
      <x:c r="D14" s="20" t="str">
        <x:v>02</x:v>
      </x:c>
      <x:c r="E14" s="20" t="str">
        <x:v>🟠 高频 High Frequency</x:v>
      </x:c>
      <x:c r="F14" s="20" t="str">
        <x:v>All</x:v>
      </x:c>
      <x:c r="G14" s="29" t="str">
        <x:v>共同愿景</x:v>
      </x:c>
      <x:c r="H14" s="29" t="str">
        <x:v>Common Vision</x:v>
      </x:c>
      <x:c r="I14" s="29" t="str">
        <x:v>让关键干系人理解并持续校准共同方向</x:v>
      </x:c>
      <x:c r="J14" s="29" t="str">
        <x:v>愿景需更新，不是启动会后固定不变</x:v>
      </x:c>
      <x:c r="K14" s="20" t="str">
        <x:v>Not Started 未学</x:v>
      </x:c>
      <x:c r="L14" s="23"/>
      <x:c r="M14" s="23"/>
      <x:c r="N14" s="20"/>
      <x:c r="O14" s="20" t="n">
        <x:v>0</x:v>
      </x:c>
      <x:c r="P14" s="20" t="n">
        <x:v>0</x:v>
      </x:c>
      <x:c r="Q14" s="26" t="str">
        <x:f>IF(O14=0,"",P14/O14)</x:f>
      </x:c>
    </x:row>
    <x:row r="15">
      <x:c r="A15" s="20" t="str">
        <x:v>KP-014</x:v>
      </x:c>
      <x:c r="B15" s="20" t="str">
        <x:v>People</x:v>
      </x:c>
      <x:c r="C15" s="20" t="str">
        <x:v>P1</x:v>
      </x:c>
      <x:c r="D15" s="20" t="str">
        <x:v>02</x:v>
      </x:c>
      <x:c r="E15" s="20" t="str">
        <x:v>🟠 高频 High Frequency</x:v>
      </x:c>
      <x:c r="F15" s="20" t="str">
        <x:v>All</x:v>
      </x:c>
      <x:c r="G15" s="29" t="str">
        <x:v>愿景误解根因</x:v>
      </x:c>
      <x:c r="H15" s="29" t="str">
        <x:v>Root Cause of Vision Misalignment</x:v>
      </x:c>
      <x:c r="I15" s="29" t="str">
        <x:v>拆解误解来源后再沟通</x:v>
      </x:c>
      <x:c r="J15" s="29" t="str">
        <x:v>不要只重复口号</x:v>
      </x:c>
      <x:c r="K15" s="20" t="str">
        <x:v>Not Started 未学</x:v>
      </x:c>
      <x:c r="L15" s="23"/>
      <x:c r="M15" s="23"/>
      <x:c r="N15" s="20"/>
      <x:c r="O15" s="20" t="n">
        <x:v>0</x:v>
      </x:c>
      <x:c r="P15" s="20" t="n">
        <x:v>0</x:v>
      </x:c>
      <x:c r="Q15" s="26" t="str">
        <x:f>IF(O15=0,"",P15/O15)</x:f>
      </x:c>
    </x:row>
    <x:row r="16">
      <x:c r="A16" s="20" t="str">
        <x:v>KP-015</x:v>
      </x:c>
      <x:c r="B16" s="20" t="str">
        <x:v>People</x:v>
      </x:c>
      <x:c r="C16" s="20" t="str">
        <x:v>P2</x:v>
      </x:c>
      <x:c r="D16" s="20" t="str">
        <x:v>02</x:v>
      </x:c>
      <x:c r="E16" s="20" t="str">
        <x:v>🔴 必考 Must Know</x:v>
      </x:c>
      <x:c r="F16" s="20" t="str">
        <x:v>All</x:v>
      </x:c>
      <x:c r="G16" s="29" t="str">
        <x:v>冲突来源</x:v>
      </x:c>
      <x:c r="H16" s="29" t="str">
        <x:v>Conflict Sources</x:v>
      </x:c>
      <x:c r="I16" s="29" t="str">
        <x:v>识别资源、优先级、技术、沟通、文化等根因</x:v>
      </x:c>
      <x:c r="J16" s="29" t="str">
        <x:v>把人贴标签不是找根因</x:v>
      </x:c>
      <x:c r="K16" s="20" t="str">
        <x:v>Not Started 未学</x:v>
      </x:c>
      <x:c r="L16" s="23"/>
      <x:c r="M16" s="23"/>
      <x:c r="N16" s="20"/>
      <x:c r="O16" s="20" t="n">
        <x:v>0</x:v>
      </x:c>
      <x:c r="P16" s="20" t="n">
        <x:v>0</x:v>
      </x:c>
      <x:c r="Q16" s="26" t="str">
        <x:f>IF(O16=0,"",P16/O16)</x:f>
      </x:c>
    </x:row>
    <x:row r="17">
      <x:c r="A17" s="20" t="str">
        <x:v>KP-016</x:v>
      </x:c>
      <x:c r="B17" s="20" t="str">
        <x:v>People</x:v>
      </x:c>
      <x:c r="C17" s="20" t="str">
        <x:v>P2</x:v>
      </x:c>
      <x:c r="D17" s="20" t="str">
        <x:v>02</x:v>
      </x:c>
      <x:c r="E17" s="20" t="str">
        <x:v>🔴 必考 Must Know</x:v>
      </x:c>
      <x:c r="F17" s="20" t="str">
        <x:v>All</x:v>
      </x:c>
      <x:c r="G17" s="29" t="str">
        <x:v>合作/解决问题</x:v>
      </x:c>
      <x:c r="H17" s="29" t="str">
        <x:v>Collaborate / Problem Solve</x:v>
      </x:c>
      <x:c r="I17" s="29" t="str">
        <x:v>寻求双赢和根因解决，通常是长期最佳</x:v>
      </x:c>
      <x:c r="J17" s="29" t="str">
        <x:v>紧急情形未必有时间完整协作</x:v>
      </x:c>
      <x:c r="K17" s="20" t="str">
        <x:v>Not Started 未学</x:v>
      </x:c>
      <x:c r="L17" s="23"/>
      <x:c r="M17" s="23"/>
      <x:c r="N17" s="20"/>
      <x:c r="O17" s="20" t="n">
        <x:v>0</x:v>
      </x:c>
      <x:c r="P17" s="20" t="n">
        <x:v>0</x:v>
      </x:c>
      <x:c r="Q17" s="26" t="str">
        <x:f>IF(O17=0,"",P17/O17)</x:f>
      </x:c>
    </x:row>
    <x:row r="18">
      <x:c r="A18" s="20" t="str">
        <x:v>KP-017</x:v>
      </x:c>
      <x:c r="B18" s="20" t="str">
        <x:v>People</x:v>
      </x:c>
      <x:c r="C18" s="20" t="str">
        <x:v>P2</x:v>
      </x:c>
      <x:c r="D18" s="20" t="str">
        <x:v>02</x:v>
      </x:c>
      <x:c r="E18" s="20" t="str">
        <x:v>🟡 易错 Easy to Confuse</x:v>
      </x:c>
      <x:c r="F18" s="20" t="str">
        <x:v>All</x:v>
      </x:c>
      <x:c r="G18" s="29" t="str">
        <x:v>妥协/调和</x:v>
      </x:c>
      <x:c r="H18" s="29" t="str">
        <x:v>Compromise / Reconcile</x:v>
      </x:c>
      <x:c r="I18" s="29" t="str">
        <x:v>双方各让一步形成可接受方案</x:v>
      </x:c>
      <x:c r="J18" s="29" t="str">
        <x:v>不是双赢最优</x:v>
      </x:c>
      <x:c r="K18" s="20" t="str">
        <x:v>Not Started 未学</x:v>
      </x:c>
      <x:c r="L18" s="23"/>
      <x:c r="M18" s="23"/>
      <x:c r="N18" s="20"/>
      <x:c r="O18" s="20" t="n">
        <x:v>0</x:v>
      </x:c>
      <x:c r="P18" s="20" t="n">
        <x:v>0</x:v>
      </x:c>
      <x:c r="Q18" s="26" t="str">
        <x:f>IF(O18=0,"",P18/O18)</x:f>
      </x:c>
    </x:row>
    <x:row r="19">
      <x:c r="A19" s="20" t="str">
        <x:v>KP-018</x:v>
      </x:c>
      <x:c r="B19" s="20" t="str">
        <x:v>People</x:v>
      </x:c>
      <x:c r="C19" s="20" t="str">
        <x:v>P2</x:v>
      </x:c>
      <x:c r="D19" s="20" t="str">
        <x:v>02</x:v>
      </x:c>
      <x:c r="E19" s="20" t="str">
        <x:v>🟡 易错 Easy to Confuse</x:v>
      </x:c>
      <x:c r="F19" s="20" t="str">
        <x:v>All</x:v>
      </x:c>
      <x:c r="G19" s="29" t="str">
        <x:v>缓和/包容</x:v>
      </x:c>
      <x:c r="H19" s="29" t="str">
        <x:v>Smooth / Accommodate</x:v>
      </x:c>
      <x:c r="I19" s="29" t="str">
        <x:v>强调共同点、暂时让步</x:v>
      </x:c>
      <x:c r="J19" s="29" t="str">
        <x:v>问题根因可能未解决</x:v>
      </x:c>
      <x:c r="K19" s="20" t="str">
        <x:v>Not Started 未学</x:v>
      </x:c>
      <x:c r="L19" s="23"/>
      <x:c r="M19" s="23"/>
      <x:c r="N19" s="20"/>
      <x:c r="O19" s="20" t="n">
        <x:v>0</x:v>
      </x:c>
      <x:c r="P19" s="20" t="n">
        <x:v>0</x:v>
      </x:c>
      <x:c r="Q19" s="26" t="str">
        <x:f>IF(O19=0,"",P19/O19)</x:f>
      </x:c>
    </x:row>
    <x:row r="20">
      <x:c r="A20" s="20" t="str">
        <x:v>KP-019</x:v>
      </x:c>
      <x:c r="B20" s="20" t="str">
        <x:v>People</x:v>
      </x:c>
      <x:c r="C20" s="20" t="str">
        <x:v>P2</x:v>
      </x:c>
      <x:c r="D20" s="20" t="str">
        <x:v>02</x:v>
      </x:c>
      <x:c r="E20" s="20" t="str">
        <x:v>🟡 易错 Easy to Confuse</x:v>
      </x:c>
      <x:c r="F20" s="20" t="str">
        <x:v>All</x:v>
      </x:c>
      <x:c r="G20" s="29" t="str">
        <x:v>强迫/命令</x:v>
      </x:c>
      <x:c r="H20" s="29" t="str">
        <x:v>Force / Direct</x:v>
      </x:c>
      <x:c r="I20" s="29" t="str">
        <x:v>紧急、安全或必须快速决策时可能适用</x:v>
      </x:c>
      <x:c r="J20" s="29" t="str">
        <x:v>日常冲突不应先命令</x:v>
      </x:c>
      <x:c r="K20" s="20" t="str">
        <x:v>Not Started 未学</x:v>
      </x:c>
      <x:c r="L20" s="23"/>
      <x:c r="M20" s="23"/>
      <x:c r="N20" s="20"/>
      <x:c r="O20" s="20" t="n">
        <x:v>0</x:v>
      </x:c>
      <x:c r="P20" s="20" t="n">
        <x:v>0</x:v>
      </x:c>
      <x:c r="Q20" s="26" t="str">
        <x:f>IF(O20=0,"",P20/O20)</x:f>
      </x:c>
    </x:row>
    <x:row r="21">
      <x:c r="A21" s="20" t="str">
        <x:v>KP-020</x:v>
      </x:c>
      <x:c r="B21" s="20" t="str">
        <x:v>People</x:v>
      </x:c>
      <x:c r="C21" s="20" t="str">
        <x:v>P2</x:v>
      </x:c>
      <x:c r="D21" s="20" t="str">
        <x:v>02</x:v>
      </x:c>
      <x:c r="E21" s="20" t="str">
        <x:v>🟡 易错 Easy to Confuse</x:v>
      </x:c>
      <x:c r="F21" s="20" t="str">
        <x:v>All</x:v>
      </x:c>
      <x:c r="G21" s="29" t="str">
        <x:v>撤退/回避</x:v>
      </x:c>
      <x:c r="H21" s="29" t="str">
        <x:v>Withdraw / Avoid</x:v>
      </x:c>
      <x:c r="I21" s="29" t="str">
        <x:v>延后或退出不适合当前处理的冲突</x:v>
      </x:c>
      <x:c r="J21" s="29" t="str">
        <x:v>不是永久解决</x:v>
      </x:c>
      <x:c r="K21" s="20" t="str">
        <x:v>Not Started 未学</x:v>
      </x:c>
      <x:c r="L21" s="23"/>
      <x:c r="M21" s="23"/>
      <x:c r="N21" s="20"/>
      <x:c r="O21" s="20" t="n">
        <x:v>0</x:v>
      </x:c>
      <x:c r="P21" s="20" t="n">
        <x:v>0</x:v>
      </x:c>
      <x:c r="Q21" s="26" t="str">
        <x:f>IF(O21=0,"",P21/O21)</x:f>
      </x:c>
    </x:row>
    <x:row r="22">
      <x:c r="A22" s="20" t="str">
        <x:v>KP-021</x:v>
      </x:c>
      <x:c r="B22" s="20" t="str">
        <x:v>People</x:v>
      </x:c>
      <x:c r="C22" s="20" t="str">
        <x:v>P2</x:v>
      </x:c>
      <x:c r="D22" s="20" t="str">
        <x:v>02</x:v>
      </x:c>
      <x:c r="E22" s="20" t="str">
        <x:v>🟠 高频 High Frequency</x:v>
      </x:c>
      <x:c r="F22" s="20" t="str">
        <x:v>All</x:v>
      </x:c>
      <x:c r="G22" s="29" t="str">
        <x:v>团队基本规则</x:v>
      </x:c>
      <x:c r="H22" s="29" t="str">
        <x:v>Team Ground Rules</x:v>
      </x:c>
      <x:c r="I22" s="29" t="str">
        <x:v>团队共同建立行为边界并处理违规</x:v>
      </x:c>
      <x:c r="J22" s="29" t="str">
        <x:v>规则需要执行和复盘</x:v>
      </x:c>
      <x:c r="K22" s="20" t="str">
        <x:v>Not Started 未学</x:v>
      </x:c>
      <x:c r="L22" s="23"/>
      <x:c r="M22" s="23"/>
      <x:c r="N22" s="20"/>
      <x:c r="O22" s="20" t="n">
        <x:v>0</x:v>
      </x:c>
      <x:c r="P22" s="20" t="n">
        <x:v>0</x:v>
      </x:c>
      <x:c r="Q22" s="26" t="str">
        <x:f>IF(O22=0,"",P22/O22)</x:f>
      </x:c>
    </x:row>
    <x:row r="23">
      <x:c r="A23" s="20" t="str">
        <x:v>KP-022</x:v>
      </x:c>
      <x:c r="B23" s="20" t="str">
        <x:v>People</x:v>
      </x:c>
      <x:c r="C23" s="20" t="str">
        <x:v>P3</x:v>
      </x:c>
      <x:c r="D23" s="20" t="str">
        <x:v>02</x:v>
      </x:c>
      <x:c r="E23" s="20" t="str">
        <x:v>🔴 必考 Must Know</x:v>
      </x:c>
      <x:c r="F23" s="20" t="str">
        <x:v>All</x:v>
      </x:c>
      <x:c r="G23" s="29" t="str">
        <x:v>服务型领导</x:v>
      </x:c>
      <x:c r="H23" s="29" t="str">
        <x:v>Servant Leadership</x:v>
      </x:c>
      <x:c r="I23" s="29" t="str">
        <x:v>赋能团队、清除障碍、促进自组织</x:v>
      </x:c>
      <x:c r="J23" s="29" t="str">
        <x:v>服务不等于替团队做决定</x:v>
      </x:c>
      <x:c r="K23" s="20" t="str">
        <x:v>Not Started 未学</x:v>
      </x:c>
      <x:c r="L23" s="23"/>
      <x:c r="M23" s="23"/>
      <x:c r="N23" s="20"/>
      <x:c r="O23" s="20" t="n">
        <x:v>0</x:v>
      </x:c>
      <x:c r="P23" s="20" t="n">
        <x:v>0</x:v>
      </x:c>
      <x:c r="Q23" s="26" t="str">
        <x:f>IF(O23=0,"",P23/O23)</x:f>
      </x:c>
    </x:row>
    <x:row r="24">
      <x:c r="A24" s="20" t="str">
        <x:v>KP-023</x:v>
      </x:c>
      <x:c r="B24" s="20" t="str">
        <x:v>People</x:v>
      </x:c>
      <x:c r="C24" s="20" t="str">
        <x:v>P3</x:v>
      </x:c>
      <x:c r="D24" s="20" t="str">
        <x:v>02</x:v>
      </x:c>
      <x:c r="E24" s="20" t="str">
        <x:v>🟠 高频 High Frequency</x:v>
      </x:c>
      <x:c r="F24" s="20" t="str">
        <x:v>All</x:v>
      </x:c>
      <x:c r="G24" s="29" t="str">
        <x:v>情境领导</x:v>
      </x:c>
      <x:c r="H24" s="29" t="str">
        <x:v>Situational Leadership</x:v>
      </x:c>
      <x:c r="I24" s="29" t="str">
        <x:v>按能力、意愿和情境调整领导方式</x:v>
      </x:c>
      <x:c r="J24" s="29" t="str">
        <x:v>不存在始终最好的单一风格</x:v>
      </x:c>
      <x:c r="K24" s="20" t="str">
        <x:v>Not Started 未学</x:v>
      </x:c>
      <x:c r="L24" s="23"/>
      <x:c r="M24" s="23"/>
      <x:c r="N24" s="20"/>
      <x:c r="O24" s="20" t="n">
        <x:v>0</x:v>
      </x:c>
      <x:c r="P24" s="20" t="n">
        <x:v>0</x:v>
      </x:c>
      <x:c r="Q24" s="26" t="str">
        <x:f>IF(O24=0,"",P24/O24)</x:f>
      </x:c>
    </x:row>
    <x:row r="25">
      <x:c r="A25" s="20" t="str">
        <x:v>KP-024</x:v>
      </x:c>
      <x:c r="B25" s="20" t="str">
        <x:v>People</x:v>
      </x:c>
      <x:c r="C25" s="20" t="str">
        <x:v>P3</x:v>
      </x:c>
      <x:c r="D25" s="20" t="str">
        <x:v>02</x:v>
      </x:c>
      <x:c r="E25" s="20" t="str">
        <x:v>🔴 必考 Must Know</x:v>
      </x:c>
      <x:c r="F25" s="20" t="str">
        <x:v>All</x:v>
      </x:c>
      <x:c r="G25" s="29" t="str">
        <x:v>授权</x:v>
      </x:c>
      <x:c r="H25" s="29" t="str">
        <x:v>Empowerment</x:v>
      </x:c>
      <x:c r="I25" s="29" t="str">
        <x:v>给团队明确边界内的决策权与责任</x:v>
      </x:c>
      <x:c r="J25" s="29" t="str">
        <x:v>授权不等于放任</x:v>
      </x:c>
      <x:c r="K25" s="20" t="str">
        <x:v>Not Started 未学</x:v>
      </x:c>
      <x:c r="L25" s="23"/>
      <x:c r="M25" s="23"/>
      <x:c r="N25" s="20"/>
      <x:c r="O25" s="20" t="n">
        <x:v>0</x:v>
      </x:c>
      <x:c r="P25" s="20" t="n">
        <x:v>0</x:v>
      </x:c>
      <x:c r="Q25" s="26" t="str">
        <x:f>IF(O25=0,"",P25/O25)</x:f>
      </x:c>
    </x:row>
    <x:row r="26">
      <x:c r="A26" s="20" t="str">
        <x:v>KP-025</x:v>
      </x:c>
      <x:c r="B26" s="20" t="str">
        <x:v>People</x:v>
      </x:c>
      <x:c r="C26" s="20" t="str">
        <x:v>P3</x:v>
      </x:c>
      <x:c r="D26" s="20" t="str">
        <x:v>02</x:v>
      </x:c>
      <x:c r="E26" s="20" t="str">
        <x:v>🟠 高频 High Frequency</x:v>
      </x:c>
      <x:c r="F26" s="20" t="str">
        <x:v>All</x:v>
      </x:c>
      <x:c r="G26" s="29" t="str">
        <x:v>心理安全</x:v>
      </x:c>
      <x:c r="H26" s="29" t="str">
        <x:v>Psychological Safety</x:v>
      </x:c>
      <x:c r="I26" s="29" t="str">
        <x:v>允许提出异议、暴露风险和承认错误</x:v>
      </x:c>
      <x:c r="J26" s="29" t="str">
        <x:v>不等于没有绩效标准</x:v>
      </x:c>
      <x:c r="K26" s="20" t="str">
        <x:v>Not Started 未学</x:v>
      </x:c>
      <x:c r="L26" s="23"/>
      <x:c r="M26" s="23"/>
      <x:c r="N26" s="20"/>
      <x:c r="O26" s="20" t="n">
        <x:v>0</x:v>
      </x:c>
      <x:c r="P26" s="20" t="n">
        <x:v>0</x:v>
      </x:c>
      <x:c r="Q26" s="26" t="str">
        <x:f>IF(O26=0,"",P26/O26)</x:f>
      </x:c>
    </x:row>
    <x:row r="27">
      <x:c r="A27" s="20" t="str">
        <x:v>KP-026</x:v>
      </x:c>
      <x:c r="B27" s="20" t="str">
        <x:v>People</x:v>
      </x:c>
      <x:c r="C27" s="20" t="str">
        <x:v>P3</x:v>
      </x:c>
      <x:c r="D27" s="20" t="str">
        <x:v>02</x:v>
      </x:c>
      <x:c r="E27" s="20" t="str">
        <x:v>🟠 高频 High Frequency</x:v>
      </x:c>
      <x:c r="F27" s="20" t="str">
        <x:v>All</x:v>
      </x:c>
      <x:c r="G27" s="29" t="str">
        <x:v>角色职责</x:v>
      </x:c>
      <x:c r="H27" s="29" t="str">
        <x:v>Roles and Responsibilities</x:v>
      </x:c>
      <x:c r="I27" s="29" t="str">
        <x:v>澄清责任、权限和接口</x:v>
      </x:c>
      <x:c r="J27" s="29" t="str">
        <x:v>RACI 中 Accountable 通常应清晰且唯一</x:v>
      </x:c>
      <x:c r="K27" s="20" t="str">
        <x:v>Not Started 未学</x:v>
      </x:c>
      <x:c r="L27" s="23"/>
      <x:c r="M27" s="23"/>
      <x:c r="N27" s="20"/>
      <x:c r="O27" s="20" t="n">
        <x:v>0</x:v>
      </x:c>
      <x:c r="P27" s="20" t="n">
        <x:v>0</x:v>
      </x:c>
      <x:c r="Q27" s="26" t="str">
        <x:f>IF(O27=0,"",P27/O27)</x:f>
      </x:c>
    </x:row>
    <x:row r="28">
      <x:c r="A28" s="20" t="str">
        <x:v>KP-027</x:v>
      </x:c>
      <x:c r="B28" s="20" t="str">
        <x:v>People</x:v>
      </x:c>
      <x:c r="C28" s="20" t="str">
        <x:v>P3</x:v>
      </x:c>
      <x:c r="D28" s="20" t="str">
        <x:v>02</x:v>
      </x:c>
      <x:c r="E28" s="20" t="str">
        <x:v>🟡 易错 Easy to Confuse</x:v>
      </x:c>
      <x:c r="F28" s="20" t="str">
        <x:v>All</x:v>
      </x:c>
      <x:c r="G28" s="29" t="str">
        <x:v>RACI</x:v>
      </x:c>
      <x:c r="H28" s="29" t="str">
        <x:v>RACI Matrix</x:v>
      </x:c>
      <x:c r="I28" s="29" t="str">
        <x:v>区分 Responsible、Accountable、Consulted、Informed</x:v>
      </x:c>
      <x:c r="J28" s="29" t="str">
        <x:v>Responsible 与 Accountable 易混</x:v>
      </x:c>
      <x:c r="K28" s="20" t="str">
        <x:v>Not Started 未学</x:v>
      </x:c>
      <x:c r="L28" s="23"/>
      <x:c r="M28" s="23"/>
      <x:c r="N28" s="20"/>
      <x:c r="O28" s="20" t="n">
        <x:v>0</x:v>
      </x:c>
      <x:c r="P28" s="20" t="n">
        <x:v>0</x:v>
      </x:c>
      <x:c r="Q28" s="26" t="str">
        <x:f>IF(O28=0,"",P28/O28)</x:f>
      </x:c>
    </x:row>
    <x:row r="29">
      <x:c r="A29" s="20" t="str">
        <x:v>KP-028</x:v>
      </x:c>
      <x:c r="B29" s="20" t="str">
        <x:v>People</x:v>
      </x:c>
      <x:c r="C29" s="20" t="str">
        <x:v>P3</x:v>
      </x:c>
      <x:c r="D29" s="20" t="str">
        <x:v>02</x:v>
      </x:c>
      <x:c r="E29" s="20" t="str">
        <x:v>🟠 高频 High Frequency</x:v>
      </x:c>
      <x:c r="F29" s="20" t="str">
        <x:v>All</x:v>
      </x:c>
      <x:c r="G29" s="29" t="str">
        <x:v>教练</x:v>
      </x:c>
      <x:c r="H29" s="29" t="str">
        <x:v>Coaching</x:v>
      </x:c>
      <x:c r="I29" s="29" t="str">
        <x:v>通过提问提升当前能力和自主解决问题</x:v>
      </x:c>
      <x:c r="J29" s="29" t="str">
        <x:v>不同于直接给答案</x:v>
      </x:c>
      <x:c r="K29" s="20" t="str">
        <x:v>Not Started 未学</x:v>
      </x:c>
      <x:c r="L29" s="23"/>
      <x:c r="M29" s="23"/>
      <x:c r="N29" s="20"/>
      <x:c r="O29" s="20" t="n">
        <x:v>0</x:v>
      </x:c>
      <x:c r="P29" s="20" t="n">
        <x:v>0</x:v>
      </x:c>
      <x:c r="Q29" s="26" t="str">
        <x:f>IF(O29=0,"",P29/O29)</x:f>
      </x:c>
    </x:row>
    <x:row r="30">
      <x:c r="A30" s="20" t="str">
        <x:v>KP-029</x:v>
      </x:c>
      <x:c r="B30" s="20" t="str">
        <x:v>People</x:v>
      </x:c>
      <x:c r="C30" s="20" t="str">
        <x:v>P3</x:v>
      </x:c>
      <x:c r="D30" s="20" t="str">
        <x:v>02</x:v>
      </x:c>
      <x:c r="E30" s="20" t="str">
        <x:v>🟠 高频 High Frequency</x:v>
      </x:c>
      <x:c r="F30" s="20" t="str">
        <x:v>All</x:v>
      </x:c>
      <x:c r="G30" s="29" t="str">
        <x:v>指导</x:v>
      </x:c>
      <x:c r="H30" s="29" t="str">
        <x:v>Mentoring</x:v>
      </x:c>
      <x:c r="I30" s="29" t="str">
        <x:v>由经验者提供长期发展建议</x:v>
      </x:c>
      <x:c r="J30" s="29" t="str">
        <x:v>不同于短期绩效纠正</x:v>
      </x:c>
      <x:c r="K30" s="20" t="str">
        <x:v>Not Started 未学</x:v>
      </x:c>
      <x:c r="L30" s="23"/>
      <x:c r="M30" s="23"/>
      <x:c r="N30" s="20"/>
      <x:c r="O30" s="20" t="n">
        <x:v>0</x:v>
      </x:c>
      <x:c r="P30" s="20" t="n">
        <x:v>0</x:v>
      </x:c>
      <x:c r="Q30" s="26" t="str">
        <x:f>IF(O30=0,"",P30/O30)</x:f>
      </x:c>
    </x:row>
    <x:row r="31">
      <x:c r="A31" s="20" t="str">
        <x:v>KP-030</x:v>
      </x:c>
      <x:c r="B31" s="20" t="str">
        <x:v>People</x:v>
      </x:c>
      <x:c r="C31" s="20" t="str">
        <x:v>P4</x:v>
      </x:c>
      <x:c r="D31" s="20" t="str">
        <x:v>02</x:v>
      </x:c>
      <x:c r="E31" s="20" t="str">
        <x:v>🔴 必考 Must Know</x:v>
      </x:c>
      <x:c r="F31" s="20" t="str">
        <x:v>All</x:v>
      </x:c>
      <x:c r="G31" s="29" t="str">
        <x:v>干系人识别</x:v>
      </x:c>
      <x:c r="H31" s="29" t="str">
        <x:v>Identify Stakeholders</x:v>
      </x:c>
      <x:c r="I31" s="29" t="str">
        <x:v>尽早识别并持续更新</x:v>
      </x:c>
      <x:c r="J31" s="29" t="str">
        <x:v>只在启动阶段做一次不够</x:v>
      </x:c>
      <x:c r="K31" s="20" t="str">
        <x:v>Not Started 未学</x:v>
      </x:c>
      <x:c r="L31" s="23"/>
      <x:c r="M31" s="23"/>
      <x:c r="N31" s="20"/>
      <x:c r="O31" s="20" t="n">
        <x:v>0</x:v>
      </x:c>
      <x:c r="P31" s="20" t="n">
        <x:v>0</x:v>
      </x:c>
      <x:c r="Q31" s="26" t="str">
        <x:f>IF(O31=0,"",P31/O31)</x:f>
      </x:c>
    </x:row>
    <x:row r="32">
      <x:c r="A32" s="20" t="str">
        <x:v>KP-031</x:v>
      </x:c>
      <x:c r="B32" s="20" t="str">
        <x:v>People</x:v>
      </x:c>
      <x:c r="C32" s="20" t="str">
        <x:v>P4</x:v>
      </x:c>
      <x:c r="D32" s="20" t="str">
        <x:v>02</x:v>
      </x:c>
      <x:c r="E32" s="20" t="str">
        <x:v>🟠 高频 High Frequency</x:v>
      </x:c>
      <x:c r="F32" s="20" t="str">
        <x:v>All</x:v>
      </x:c>
      <x:c r="G32" s="29" t="str">
        <x:v>权力利益方格</x:v>
      </x:c>
      <x:c r="H32" s="29" t="str">
        <x:v>Power/Interest Grid</x:v>
      </x:c>
      <x:c r="I32" s="29" t="str">
        <x:v>按权力和兴趣规划参与策略</x:v>
      </x:c>
      <x:c r="J32" s="29" t="str">
        <x:v>分类会随项目变化</x:v>
      </x:c>
      <x:c r="K32" s="20" t="str">
        <x:v>Not Started 未学</x:v>
      </x:c>
      <x:c r="L32" s="23"/>
      <x:c r="M32" s="23"/>
      <x:c r="N32" s="20"/>
      <x:c r="O32" s="20" t="n">
        <x:v>0</x:v>
      </x:c>
      <x:c r="P32" s="20" t="n">
        <x:v>0</x:v>
      </x:c>
      <x:c r="Q32" s="26" t="str">
        <x:f>IF(O32=0,"",P32/O32)</x:f>
      </x:c>
    </x:row>
    <x:row r="33">
      <x:c r="A33" s="20" t="str">
        <x:v>KP-032</x:v>
      </x:c>
      <x:c r="B33" s="20" t="str">
        <x:v>People</x:v>
      </x:c>
      <x:c r="C33" s="20" t="str">
        <x:v>P4</x:v>
      </x:c>
      <x:c r="D33" s="20" t="str">
        <x:v>02</x:v>
      </x:c>
      <x:c r="E33" s="20" t="str">
        <x:v>🟠 高频 High Frequency</x:v>
      </x:c>
      <x:c r="F33" s="20" t="str">
        <x:v>All</x:v>
      </x:c>
      <x:c r="G33" s="29" t="str">
        <x:v>干系人登记册</x:v>
      </x:c>
      <x:c r="H33" s="29" t="str">
        <x:v>Stakeholder Register</x:v>
      </x:c>
      <x:c r="I33" s="29" t="str">
        <x:v>记录身份、影响、期望和分类</x:v>
      </x:c>
      <x:c r="J33" s="29" t="str">
        <x:v>敏感信息需控制访问</x:v>
      </x:c>
      <x:c r="K33" s="20" t="str">
        <x:v>Not Started 未学</x:v>
      </x:c>
      <x:c r="L33" s="23"/>
      <x:c r="M33" s="23"/>
      <x:c r="N33" s="20"/>
      <x:c r="O33" s="20" t="n">
        <x:v>0</x:v>
      </x:c>
      <x:c r="P33" s="20" t="n">
        <x:v>0</x:v>
      </x:c>
      <x:c r="Q33" s="26" t="str">
        <x:f>IF(O33=0,"",P33/O33)</x:f>
      </x:c>
    </x:row>
    <x:row r="34">
      <x:c r="A34" s="20" t="str">
        <x:v>KP-033</x:v>
      </x:c>
      <x:c r="B34" s="20" t="str">
        <x:v>People</x:v>
      </x:c>
      <x:c r="C34" s="20" t="str">
        <x:v>P4</x:v>
      </x:c>
      <x:c r="D34" s="20" t="str">
        <x:v>02</x:v>
      </x:c>
      <x:c r="E34" s="20" t="str">
        <x:v>🔴 必考 Must Know</x:v>
      </x:c>
      <x:c r="F34" s="20" t="str">
        <x:v>All</x:v>
      </x:c>
      <x:c r="G34" s="29" t="str">
        <x:v>干系人参与计划</x:v>
      </x:c>
      <x:c r="H34" s="29" t="str">
        <x:v>Stakeholder Engagement Plan</x:v>
      </x:c>
      <x:c r="I34" s="29" t="str">
        <x:v>规划如何达成所需参与程度</x:v>
      </x:c>
      <x:c r="J34" s="29" t="str">
        <x:v>不是单纯沟通频率表</x:v>
      </x:c>
      <x:c r="K34" s="20" t="str">
        <x:v>Not Started 未学</x:v>
      </x:c>
      <x:c r="L34" s="23"/>
      <x:c r="M34" s="23"/>
      <x:c r="N34" s="20"/>
      <x:c r="O34" s="20" t="n">
        <x:v>0</x:v>
      </x:c>
      <x:c r="P34" s="20" t="n">
        <x:v>0</x:v>
      </x:c>
      <x:c r="Q34" s="26" t="str">
        <x:f>IF(O34=0,"",P34/O34)</x:f>
      </x:c>
    </x:row>
    <x:row r="35">
      <x:c r="A35" s="20" t="str">
        <x:v>KP-034</x:v>
      </x:c>
      <x:c r="B35" s="20" t="str">
        <x:v>People</x:v>
      </x:c>
      <x:c r="C35" s="20" t="str">
        <x:v>P4</x:v>
      </x:c>
      <x:c r="D35" s="20" t="str">
        <x:v>02</x:v>
      </x:c>
      <x:c r="E35" s="20" t="str">
        <x:v>🟠 高频 High Frequency</x:v>
      </x:c>
      <x:c r="F35" s="20" t="str">
        <x:v>All</x:v>
      </x:c>
      <x:c r="G35" s="29" t="str">
        <x:v>信任与影响</x:v>
      </x:c>
      <x:c r="H35" s="29" t="str">
        <x:v>Trust and Influence</x:v>
      </x:c>
      <x:c r="I35" s="29" t="str">
        <x:v>以透明、可靠和共同价值促进支持</x:v>
      </x:c>
      <x:c r="J35" s="29" t="str">
        <x:v>操纵不等于影响</x:v>
      </x:c>
      <x:c r="K35" s="20" t="str">
        <x:v>Not Started 未学</x:v>
      </x:c>
      <x:c r="L35" s="23"/>
      <x:c r="M35" s="23"/>
      <x:c r="N35" s="20"/>
      <x:c r="O35" s="20" t="n">
        <x:v>0</x:v>
      </x:c>
      <x:c r="P35" s="20" t="n">
        <x:v>0</x:v>
      </x:c>
      <x:c r="Q35" s="26" t="str">
        <x:f>IF(O35=0,"",P35/O35)</x:f>
      </x:c>
    </x:row>
    <x:row r="36">
      <x:c r="A36" s="20" t="str">
        <x:v>KP-035</x:v>
      </x:c>
      <x:c r="B36" s="20" t="str">
        <x:v>People</x:v>
      </x:c>
      <x:c r="C36" s="20" t="str">
        <x:v>P5</x:v>
      </x:c>
      <x:c r="D36" s="20" t="str">
        <x:v>02</x:v>
      </x:c>
      <x:c r="E36" s="20" t="str">
        <x:v>🔴 必考 Must Know</x:v>
      </x:c>
      <x:c r="F36" s="20" t="str">
        <x:v>All</x:v>
      </x:c>
      <x:c r="G36" s="29" t="str">
        <x:v>期望对齐</x:v>
      </x:c>
      <x:c r="H36" s="29" t="str">
        <x:v>Align Expectations</x:v>
      </x:c>
      <x:c r="I36" s="29" t="str">
        <x:v>显化差异并促进共同理解</x:v>
      </x:c>
      <x:c r="J36" s="29" t="str">
        <x:v>不能单方面承诺满足所有期望</x:v>
      </x:c>
      <x:c r="K36" s="20" t="str">
        <x:v>Not Started 未学</x:v>
      </x:c>
      <x:c r="L36" s="23"/>
      <x:c r="M36" s="23"/>
      <x:c r="N36" s="20"/>
      <x:c r="O36" s="20" t="n">
        <x:v>0</x:v>
      </x:c>
      <x:c r="P36" s="20" t="n">
        <x:v>0</x:v>
      </x:c>
      <x:c r="Q36" s="26" t="str">
        <x:f>IF(O36=0,"",P36/O36)</x:f>
      </x:c>
    </x:row>
    <x:row r="37">
      <x:c r="A37" s="20" t="str">
        <x:v>KP-036</x:v>
      </x:c>
      <x:c r="B37" s="20" t="str">
        <x:v>People</x:v>
      </x:c>
      <x:c r="C37" s="20" t="str">
        <x:v>P5</x:v>
      </x:c>
      <x:c r="D37" s="20" t="str">
        <x:v>02</x:v>
      </x:c>
      <x:c r="E37" s="20" t="str">
        <x:v>🟡 易错 Easy to Confuse</x:v>
      </x:c>
      <x:c r="F37" s="20" t="str">
        <x:v>All</x:v>
      </x:c>
      <x:c r="G37" s="29" t="str">
        <x:v>参与度评估矩阵</x:v>
      </x:c>
      <x:c r="H37" s="29" t="str">
        <x:v>Stakeholder Engagement Assessment Matrix</x:v>
      </x:c>
      <x:c r="I37" s="29" t="str">
        <x:v>比较当前与期望参与度</x:v>
      </x:c>
      <x:c r="J37" s="29" t="str">
        <x:v>不等同于权力利益方格</x:v>
      </x:c>
      <x:c r="K37" s="20" t="str">
        <x:v>Not Started 未学</x:v>
      </x:c>
      <x:c r="L37" s="23"/>
      <x:c r="M37" s="23"/>
      <x:c r="N37" s="20"/>
      <x:c r="O37" s="20" t="n">
        <x:v>0</x:v>
      </x:c>
      <x:c r="P37" s="20" t="n">
        <x:v>0</x:v>
      </x:c>
      <x:c r="Q37" s="26" t="str">
        <x:f>IF(O37=0,"",P37/O37)</x:f>
      </x:c>
    </x:row>
    <x:row r="38">
      <x:c r="A38" s="20" t="str">
        <x:v>KP-037</x:v>
      </x:c>
      <x:c r="B38" s="20" t="str">
        <x:v>People</x:v>
      </x:c>
      <x:c r="C38" s="20" t="str">
        <x:v>P6</x:v>
      </x:c>
      <x:c r="D38" s="20" t="str">
        <x:v>02</x:v>
      </x:c>
      <x:c r="E38" s="20" t="str">
        <x:v>🟠 高频 High Frequency</x:v>
      </x:c>
      <x:c r="F38" s="20" t="str">
        <x:v>All</x:v>
      </x:c>
      <x:c r="G38" s="29" t="str">
        <x:v>客户满意度</x:v>
      </x:c>
      <x:c r="H38" s="29" t="str">
        <x:v>Customer Satisfaction</x:v>
      </x:c>
      <x:c r="I38" s="29" t="str">
        <x:v>持续监测内外部客户期望和满意度</x:v>
      </x:c>
      <x:c r="J38" s="29" t="str">
        <x:v>验收一次不代表持续满意</x:v>
      </x:c>
      <x:c r="K38" s="20" t="str">
        <x:v>Not Started 未学</x:v>
      </x:c>
      <x:c r="L38" s="23"/>
      <x:c r="M38" s="23"/>
      <x:c r="N38" s="20"/>
      <x:c r="O38" s="20" t="n">
        <x:v>0</x:v>
      </x:c>
      <x:c r="P38" s="20" t="n">
        <x:v>0</x:v>
      </x:c>
      <x:c r="Q38" s="26" t="str">
        <x:f>IF(O38=0,"",P38/O38)</x:f>
      </x:c>
    </x:row>
    <x:row r="39">
      <x:c r="A39" s="20" t="str">
        <x:v>KP-038</x:v>
      </x:c>
      <x:c r="B39" s="20" t="str">
        <x:v>People</x:v>
      </x:c>
      <x:c r="C39" s="20" t="str">
        <x:v>P7</x:v>
      </x:c>
      <x:c r="D39" s="20" t="str">
        <x:v>02</x:v>
      </x:c>
      <x:c r="E39" s="20" t="str">
        <x:v>🔴 必考 Must Know</x:v>
      </x:c>
      <x:c r="F39" s="20" t="str">
        <x:v>All</x:v>
      </x:c>
      <x:c r="G39" s="29" t="str">
        <x:v>知识转移</x:v>
      </x:c>
      <x:c r="H39" s="29" t="str">
        <x:v>Knowledge Transfer</x:v>
      </x:c>
      <x:c r="I39" s="29" t="str">
        <x:v>识别关键知识、收集并创造分享环境</x:v>
      </x:c>
      <x:c r="J39" s="29" t="str">
        <x:v>只上传文档不保证隐性知识转移</x:v>
      </x:c>
      <x:c r="K39" s="20" t="str">
        <x:v>Not Started 未学</x:v>
      </x:c>
      <x:c r="L39" s="23"/>
      <x:c r="M39" s="23"/>
      <x:c r="N39" s="20"/>
      <x:c r="O39" s="20" t="n">
        <x:v>0</x:v>
      </x:c>
      <x:c r="P39" s="20" t="n">
        <x:v>0</x:v>
      </x:c>
      <x:c r="Q39" s="26" t="str">
        <x:f>IF(O39=0,"",P39/O39)</x:f>
      </x:c>
    </x:row>
    <x:row r="40">
      <x:c r="A40" s="20" t="str">
        <x:v>KP-039</x:v>
      </x:c>
      <x:c r="B40" s="20" t="str">
        <x:v>People</x:v>
      </x:c>
      <x:c r="C40" s="20" t="str">
        <x:v>P7</x:v>
      </x:c>
      <x:c r="D40" s="20" t="str">
        <x:v>02</x:v>
      </x:c>
      <x:c r="E40" s="20" t="str">
        <x:v>🟠 高频 High Frequency</x:v>
      </x:c>
      <x:c r="F40" s="20" t="str">
        <x:v>All</x:v>
      </x:c>
      <x:c r="G40" s="29" t="str">
        <x:v>经验教训登记册</x:v>
      </x:c>
      <x:c r="H40" s="29" t="str">
        <x:v>Lessons Learned Register</x:v>
      </x:c>
      <x:c r="I40" s="29" t="str">
        <x:v>项目全过程持续记录和使用经验</x:v>
      </x:c>
      <x:c r="J40" s="29" t="str">
        <x:v>不是收尾才第一次创建</x:v>
      </x:c>
      <x:c r="K40" s="20" t="str">
        <x:v>Not Started 未学</x:v>
      </x:c>
      <x:c r="L40" s="23"/>
      <x:c r="M40" s="23"/>
      <x:c r="N40" s="20"/>
      <x:c r="O40" s="20" t="n">
        <x:v>0</x:v>
      </x:c>
      <x:c r="P40" s="20" t="n">
        <x:v>0</x:v>
      </x:c>
      <x:c r="Q40" s="26" t="str">
        <x:f>IF(O40=0,"",P40/O40)</x:f>
      </x:c>
    </x:row>
    <x:row r="41">
      <x:c r="A41" s="20" t="str">
        <x:v>KP-040</x:v>
      </x:c>
      <x:c r="B41" s="20" t="str">
        <x:v>People</x:v>
      </x:c>
      <x:c r="C41" s="20" t="str">
        <x:v>P7</x:v>
      </x:c>
      <x:c r="D41" s="20" t="str">
        <x:v>02</x:v>
      </x:c>
      <x:c r="E41" s="20" t="str">
        <x:v>🟠 高频 High Frequency</x:v>
      </x:c>
      <x:c r="F41" s="20" t="str">
        <x:v>All</x:v>
      </x:c>
      <x:c r="G41" s="29" t="str">
        <x:v>结对与跟岗</x:v>
      </x:c>
      <x:c r="H41" s="29" t="str">
        <x:v>Pairing and Shadowing</x:v>
      </x:c>
      <x:c r="I41" s="29" t="str">
        <x:v>转移隐性知识并降低关键人风险</x:v>
      </x:c>
      <x:c r="J41" s="29" t="str">
        <x:v>需考虑时间与访问权限</x:v>
      </x:c>
      <x:c r="K41" s="20" t="str">
        <x:v>Not Started 未学</x:v>
      </x:c>
      <x:c r="L41" s="23"/>
      <x:c r="M41" s="23"/>
      <x:c r="N41" s="20"/>
      <x:c r="O41" s="20" t="n">
        <x:v>0</x:v>
      </x:c>
      <x:c r="P41" s="20" t="n">
        <x:v>0</x:v>
      </x:c>
      <x:c r="Q41" s="26" t="str">
        <x:f>IF(O41=0,"",P41/O41)</x:f>
      </x:c>
    </x:row>
    <x:row r="42">
      <x:c r="A42" s="20" t="str">
        <x:v>KP-041</x:v>
      </x:c>
      <x:c r="B42" s="20" t="str">
        <x:v>People</x:v>
      </x:c>
      <x:c r="C42" s="20" t="str">
        <x:v>P8</x:v>
      </x:c>
      <x:c r="D42" s="20" t="str">
        <x:v>02</x:v>
      </x:c>
      <x:c r="E42" s="20" t="str">
        <x:v>🔴 必考 Must Know</x:v>
      </x:c>
      <x:c r="F42" s="20" t="str">
        <x:v>All</x:v>
      </x:c>
      <x:c r="G42" s="29" t="str">
        <x:v>沟通管理计划</x:v>
      </x:c>
      <x:c r="H42" s="29" t="str">
        <x:v>Communications Management Plan</x:v>
      </x:c>
      <x:c r="I42" s="29" t="str">
        <x:v>规定对象、内容、渠道、频率和责任</x:v>
      </x:c>
      <x:c r="J42" s="29" t="str">
        <x:v>沟通不佳先检查计划与需求</x:v>
      </x:c>
      <x:c r="K42" s="20" t="str">
        <x:v>Not Started 未学</x:v>
      </x:c>
      <x:c r="L42" s="23"/>
      <x:c r="M42" s="23"/>
      <x:c r="N42" s="20"/>
      <x:c r="O42" s="20" t="n">
        <x:v>0</x:v>
      </x:c>
      <x:c r="P42" s="20" t="n">
        <x:v>0</x:v>
      </x:c>
      <x:c r="Q42" s="26" t="str">
        <x:f>IF(O42=0,"",P42/O42)</x:f>
      </x:c>
    </x:row>
    <x:row r="43">
      <x:c r="A43" s="20" t="str">
        <x:v>KP-042</x:v>
      </x:c>
      <x:c r="B43" s="20" t="str">
        <x:v>People</x:v>
      </x:c>
      <x:c r="C43" s="20" t="str">
        <x:v>P8</x:v>
      </x:c>
      <x:c r="D43" s="20" t="str">
        <x:v>02</x:v>
      </x:c>
      <x:c r="E43" s="20" t="str">
        <x:v>🟠 高频 High Frequency</x:v>
      </x:c>
      <x:c r="F43" s="20" t="str">
        <x:v>All</x:v>
      </x:c>
      <x:c r="G43" s="29" t="str">
        <x:v>互动式沟通</x:v>
      </x:c>
      <x:c r="H43" s="29" t="str">
        <x:v>Interactive Communication</x:v>
      </x:c>
      <x:c r="I43" s="29" t="str">
        <x:v>实时双向交流，适合复杂敏感问题</x:v>
      </x:c>
      <x:c r="J43" s="29" t="str">
        <x:v>会议不是天然高效</x:v>
      </x:c>
      <x:c r="K43" s="20" t="str">
        <x:v>Not Started 未学</x:v>
      </x:c>
      <x:c r="L43" s="23"/>
      <x:c r="M43" s="23"/>
      <x:c r="N43" s="20"/>
      <x:c r="O43" s="20" t="n">
        <x:v>0</x:v>
      </x:c>
      <x:c r="P43" s="20" t="n">
        <x:v>0</x:v>
      </x:c>
      <x:c r="Q43" s="26" t="str">
        <x:f>IF(O43=0,"",P43/O43)</x:f>
      </x:c>
    </x:row>
    <x:row r="44">
      <x:c r="A44" s="20" t="str">
        <x:v>KP-043</x:v>
      </x:c>
      <x:c r="B44" s="20" t="str">
        <x:v>People</x:v>
      </x:c>
      <x:c r="C44" s="20" t="str">
        <x:v>P8</x:v>
      </x:c>
      <x:c r="D44" s="20" t="str">
        <x:v>02</x:v>
      </x:c>
      <x:c r="E44" s="20" t="str">
        <x:v>🟡 易错 Easy to Confuse</x:v>
      </x:c>
      <x:c r="F44" s="20" t="str">
        <x:v>All</x:v>
      </x:c>
      <x:c r="G44" s="29" t="str">
        <x:v>推式沟通</x:v>
      </x:c>
      <x:c r="H44" s="29" t="str">
        <x:v>Push Communication</x:v>
      </x:c>
      <x:c r="I44" s="29" t="str">
        <x:v>把信息发送给特定对象</x:v>
      </x:c>
      <x:c r="J44" s="29" t="str">
        <x:v>发送不代表理解</x:v>
      </x:c>
      <x:c r="K44" s="20" t="str">
        <x:v>Not Started 未学</x:v>
      </x:c>
      <x:c r="L44" s="23"/>
      <x:c r="M44" s="23"/>
      <x:c r="N44" s="20"/>
      <x:c r="O44" s="20" t="n">
        <x:v>0</x:v>
      </x:c>
      <x:c r="P44" s="20" t="n">
        <x:v>0</x:v>
      </x:c>
      <x:c r="Q44" s="26" t="str">
        <x:f>IF(O44=0,"",P44/O44)</x:f>
      </x:c>
    </x:row>
    <x:row r="45">
      <x:c r="A45" s="20" t="str">
        <x:v>KP-044</x:v>
      </x:c>
      <x:c r="B45" s="20" t="str">
        <x:v>People</x:v>
      </x:c>
      <x:c r="C45" s="20" t="str">
        <x:v>P8</x:v>
      </x:c>
      <x:c r="D45" s="20" t="str">
        <x:v>02</x:v>
      </x:c>
      <x:c r="E45" s="20" t="str">
        <x:v>🟡 易错 Easy to Confuse</x:v>
      </x:c>
      <x:c r="F45" s="20" t="str">
        <x:v>All</x:v>
      </x:c>
      <x:c r="G45" s="29" t="str">
        <x:v>拉式沟通</x:v>
      </x:c>
      <x:c r="H45" s="29" t="str">
        <x:v>Pull Communication</x:v>
      </x:c>
      <x:c r="I45" s="29" t="str">
        <x:v>大量信息放在库中供需要者获取</x:v>
      </x:c>
      <x:c r="J45" s="29" t="str">
        <x:v>需保证可访问和可检索</x:v>
      </x:c>
      <x:c r="K45" s="20" t="str">
        <x:v>Not Started 未学</x:v>
      </x:c>
      <x:c r="L45" s="23"/>
      <x:c r="M45" s="23"/>
      <x:c r="N45" s="20"/>
      <x:c r="O45" s="20" t="n">
        <x:v>0</x:v>
      </x:c>
      <x:c r="P45" s="20" t="n">
        <x:v>0</x:v>
      </x:c>
      <x:c r="Q45" s="26" t="str">
        <x:f>IF(O45=0,"",P45/O45)</x:f>
      </x:c>
    </x:row>
    <x:row r="46">
      <x:c r="A46" s="20" t="str">
        <x:v>KP-045</x:v>
      </x:c>
      <x:c r="B46" s="20" t="str">
        <x:v>People</x:v>
      </x:c>
      <x:c r="C46" s="20" t="str">
        <x:v>P8</x:v>
      </x:c>
      <x:c r="D46" s="20" t="str">
        <x:v>02</x:v>
      </x:c>
      <x:c r="E46" s="20" t="str">
        <x:v>🔴 必考 Must Know</x:v>
      </x:c>
      <x:c r="F46" s="20" t="str">
        <x:v>All</x:v>
      </x:c>
      <x:c r="G46" s="29" t="str">
        <x:v>反馈回路</x:v>
      </x:c>
      <x:c r="H46" s="29" t="str">
        <x:v>Feedback Loop</x:v>
      </x:c>
      <x:c r="I46" s="29" t="str">
        <x:v>确认接收、理解并据反馈调整</x:v>
      </x:c>
      <x:c r="J46" s="29" t="str">
        <x:v>单向报告不构成闭环</x:v>
      </x:c>
      <x:c r="K46" s="20" t="str">
        <x:v>Not Started 未学</x:v>
      </x:c>
      <x:c r="L46" s="23"/>
      <x:c r="M46" s="23"/>
      <x:c r="N46" s="20"/>
      <x:c r="O46" s="20" t="n">
        <x:v>0</x:v>
      </x:c>
      <x:c r="P46" s="20" t="n">
        <x:v>0</x:v>
      </x:c>
      <x:c r="Q46" s="26" t="str">
        <x:f>IF(O46=0,"",P46/O46)</x:f>
      </x:c>
    </x:row>
    <x:row r="47">
      <x:c r="A47" s="20" t="str">
        <x:v>KP-046</x:v>
      </x:c>
      <x:c r="B47" s="20" t="str">
        <x:v>People</x:v>
      </x:c>
      <x:c r="C47" s="20" t="str">
        <x:v>P8</x:v>
      </x:c>
      <x:c r="D47" s="20" t="str">
        <x:v>02</x:v>
      </x:c>
      <x:c r="E47" s="20" t="str">
        <x:v>🟠 高频 High Frequency</x:v>
      </x:c>
      <x:c r="F47" s="20" t="str">
        <x:v>All</x:v>
      </x:c>
      <x:c r="G47" s="29" t="str">
        <x:v>沟通渠道</x:v>
      </x:c>
      <x:c r="H47" s="29" t="str">
        <x:v>Communication Channels</x:v>
      </x:c>
      <x:c r="I47" s="29" t="str">
        <x:v>潜在渠道数 n(n-1)/2</x:v>
      </x:c>
      <x:c r="J47" s="29" t="str">
        <x:v>人数增加一人不是只增加一条渠道</x:v>
      </x:c>
      <x:c r="K47" s="20" t="str">
        <x:v>Not Started 未学</x:v>
      </x:c>
      <x:c r="L47" s="23"/>
      <x:c r="M47" s="23"/>
      <x:c r="N47" s="20"/>
      <x:c r="O47" s="20" t="n">
        <x:v>0</x:v>
      </x:c>
      <x:c r="P47" s="20" t="n">
        <x:v>0</x:v>
      </x:c>
      <x:c r="Q47" s="26" t="str">
        <x:f>IF(O47=0,"",P47/O47)</x:f>
      </x:c>
    </x:row>
    <x:row r="48">
      <x:c r="A48" s="20" t="str">
        <x:v>KP-047</x:v>
      </x:c>
      <x:c r="B48" s="20" t="str">
        <x:v>People</x:v>
      </x:c>
      <x:c r="C48" s="20" t="str">
        <x:v>P8</x:v>
      </x:c>
      <x:c r="D48" s="20" t="str">
        <x:v>02</x:v>
      </x:c>
      <x:c r="E48" s="20" t="str">
        <x:v>🟠 高频 High Frequency</x:v>
      </x:c>
      <x:c r="F48" s="20" t="str">
        <x:v>All</x:v>
      </x:c>
      <x:c r="G48" s="29" t="str">
        <x:v>信息辐射源</x:v>
      </x:c>
      <x:c r="H48" s="29" t="str">
        <x:v>Information Radiator</x:v>
      </x:c>
      <x:c r="I48" s="29" t="str">
        <x:v>让团队状态透明可见</x:v>
      </x:c>
      <x:c r="J48" s="29" t="str">
        <x:v>公开范围需符合保密要求</x:v>
      </x:c>
      <x:c r="K48" s="20" t="str">
        <x:v>Not Started 未学</x:v>
      </x:c>
      <x:c r="L48" s="23"/>
      <x:c r="M48" s="23"/>
      <x:c r="N48" s="20"/>
      <x:c r="O48" s="20" t="n">
        <x:v>0</x:v>
      </x:c>
      <x:c r="P48" s="20" t="n">
        <x:v>0</x:v>
      </x:c>
      <x:c r="Q48" s="26" t="str">
        <x:f>IF(O48=0,"",P48/O48)</x:f>
      </x:c>
    </x:row>
    <x:row r="49">
      <x:c r="A49" s="20" t="str">
        <x:v>KP-048</x:v>
      </x:c>
      <x:c r="B49" s="20" t="str">
        <x:v>Process</x:v>
      </x:c>
      <x:c r="C49" s="20" t="str">
        <x:v>PR1</x:v>
      </x:c>
      <x:c r="D49" s="20" t="str">
        <x:v>03</x:v>
      </x:c>
      <x:c r="E49" s="20" t="str">
        <x:v>🔴 必考 Must Know</x:v>
      </x:c>
      <x:c r="F49" s="20" t="str">
        <x:v>All</x:v>
      </x:c>
      <x:c r="G49" s="29" t="str">
        <x:v>项目章程</x:v>
      </x:c>
      <x:c r="H49" s="29" t="str">
        <x:v>Project Charter</x:v>
      </x:c>
      <x:c r="I49" s="29" t="str">
        <x:v>正式授权项目并赋予项目经理相应权限</x:v>
      </x:c>
      <x:c r="J49" s="29" t="str">
        <x:v>章程不是详细项目管理计划</x:v>
      </x:c>
      <x:c r="K49" s="20" t="str">
        <x:v>Not Started 未学</x:v>
      </x:c>
      <x:c r="L49" s="23"/>
      <x:c r="M49" s="23"/>
      <x:c r="N49" s="20"/>
      <x:c r="O49" s="20" t="n">
        <x:v>0</x:v>
      </x:c>
      <x:c r="P49" s="20" t="n">
        <x:v>0</x:v>
      </x:c>
      <x:c r="Q49" s="26" t="str">
        <x:f>IF(O49=0,"",P49/O49)</x:f>
      </x:c>
    </x:row>
    <x:row r="50">
      <x:c r="A50" s="20" t="str">
        <x:v>KP-049</x:v>
      </x:c>
      <x:c r="B50" s="20" t="str">
        <x:v>Process</x:v>
      </x:c>
      <x:c r="C50" s="20" t="str">
        <x:v>PR1</x:v>
      </x:c>
      <x:c r="D50" s="20" t="str">
        <x:v>03</x:v>
      </x:c>
      <x:c r="E50" s="20" t="str">
        <x:v>🟠 高频 High Frequency</x:v>
      </x:c>
      <x:c r="F50" s="20" t="str">
        <x:v>All</x:v>
      </x:c>
      <x:c r="G50" s="29" t="str">
        <x:v>商业论证</x:v>
      </x:c>
      <x:c r="H50" s="29" t="str">
        <x:v>Business Case</x:v>
      </x:c>
      <x:c r="I50" s="29" t="str">
        <x:v>说明战略理由、可行性、成本收益和选择依据</x:v>
      </x:c>
      <x:c r="J50" s="29" t="str">
        <x:v>通常由发起组织负责，PM 可参与</x:v>
      </x:c>
      <x:c r="K50" s="20" t="str">
        <x:v>Not Started 未学</x:v>
      </x:c>
      <x:c r="L50" s="23"/>
      <x:c r="M50" s="23"/>
      <x:c r="N50" s="20"/>
      <x:c r="O50" s="20" t="n">
        <x:v>0</x:v>
      </x:c>
      <x:c r="P50" s="20" t="n">
        <x:v>0</x:v>
      </x:c>
      <x:c r="Q50" s="26" t="str">
        <x:f>IF(O50=0,"",P50/O50)</x:f>
      </x:c>
    </x:row>
    <x:row r="51">
      <x:c r="A51" s="20" t="str">
        <x:v>KP-050</x:v>
      </x:c>
      <x:c r="B51" s="20" t="str">
        <x:v>Process</x:v>
      </x:c>
      <x:c r="C51" s="20" t="str">
        <x:v>PR1</x:v>
      </x:c>
      <x:c r="D51" s="20" t="str">
        <x:v>03</x:v>
      </x:c>
      <x:c r="E51" s="20" t="str">
        <x:v>🟠 高频 High Frequency</x:v>
      </x:c>
      <x:c r="F51" s="20" t="str">
        <x:v>All</x:v>
      </x:c>
      <x:c r="G51" s="29" t="str">
        <x:v>收益管理计划</x:v>
      </x:c>
      <x:c r="H51" s="29" t="str">
        <x:v>Benefits Management Plan</x:v>
      </x:c>
      <x:c r="I51" s="29" t="str">
        <x:v>定义收益、负责人、指标和实现时间</x:v>
      </x:c>
      <x:c r="J51" s="29" t="str">
        <x:v>收益常延续到项目结束后</x:v>
      </x:c>
      <x:c r="K51" s="20" t="str">
        <x:v>Not Started 未学</x:v>
      </x:c>
      <x:c r="L51" s="23"/>
      <x:c r="M51" s="23"/>
      <x:c r="N51" s="20"/>
      <x:c r="O51" s="20" t="n">
        <x:v>0</x:v>
      </x:c>
      <x:c r="P51" s="20" t="n">
        <x:v>0</x:v>
      </x:c>
      <x:c r="Q51" s="26" t="str">
        <x:f>IF(O51=0,"",P51/O51)</x:f>
      </x:c>
    </x:row>
    <x:row r="52">
      <x:c r="A52" s="20" t="str">
        <x:v>KP-051</x:v>
      </x:c>
      <x:c r="B52" s="20" t="str">
        <x:v>Process</x:v>
      </x:c>
      <x:c r="C52" s="20" t="str">
        <x:v>PR1</x:v>
      </x:c>
      <x:c r="D52" s="20" t="str">
        <x:v>03</x:v>
      </x:c>
      <x:c r="E52" s="20" t="str">
        <x:v>🔴 必考 Must Know</x:v>
      </x:c>
      <x:c r="F52" s="20" t="str">
        <x:v>All</x:v>
      </x:c>
      <x:c r="G52" s="29" t="str">
        <x:v>项目管理计划</x:v>
      </x:c>
      <x:c r="H52" s="29" t="str">
        <x:v>Project Management Plan</x:v>
      </x:c>
      <x:c r="I52" s="29" t="str">
        <x:v>整合各子计划和基准，指导执行与控制</x:v>
      </x:c>
      <x:c r="J52" s="29" t="str">
        <x:v>不是单个进度表</x:v>
      </x:c>
      <x:c r="K52" s="20" t="str">
        <x:v>Not Started 未学</x:v>
      </x:c>
      <x:c r="L52" s="23"/>
      <x:c r="M52" s="23"/>
      <x:c r="N52" s="20"/>
      <x:c r="O52" s="20" t="n">
        <x:v>0</x:v>
      </x:c>
      <x:c r="P52" s="20" t="n">
        <x:v>0</x:v>
      </x:c>
      <x:c r="Q52" s="26" t="str">
        <x:f>IF(O52=0,"",P52/O52)</x:f>
      </x:c>
    </x:row>
    <x:row r="53">
      <x:c r="A53" s="20" t="str">
        <x:v>KP-052</x:v>
      </x:c>
      <x:c r="B53" s="20" t="str">
        <x:v>Process</x:v>
      </x:c>
      <x:c r="C53" s="20" t="str">
        <x:v>PR1</x:v>
      </x:c>
      <x:c r="D53" s="20" t="str">
        <x:v>03</x:v>
      </x:c>
      <x:c r="E53" s="20" t="str">
        <x:v>🔴 必考 Must Know</x:v>
      </x:c>
      <x:c r="F53" s="20" t="str">
        <x:v>All</x:v>
      </x:c>
      <x:c r="G53" s="29" t="str">
        <x:v>交付方法选择</x:v>
      </x:c>
      <x:c r="H53" s="29" t="str">
        <x:v>Development Approach Selection</x:v>
      </x:c>
      <x:c r="I53" s="29" t="str">
        <x:v>按不确定性、合规、反馈和交付节奏选择方法</x:v>
      </x:c>
      <x:c r="J53" s="29" t="str">
        <x:v>不要只按行业标签选择</x:v>
      </x:c>
      <x:c r="K53" s="20" t="str">
        <x:v>Not Started 未学</x:v>
      </x:c>
      <x:c r="L53" s="23"/>
      <x:c r="M53" s="23"/>
      <x:c r="N53" s="20"/>
      <x:c r="O53" s="20" t="n">
        <x:v>0</x:v>
      </x:c>
      <x:c r="P53" s="20" t="n">
        <x:v>0</x:v>
      </x:c>
      <x:c r="Q53" s="26" t="str">
        <x:f>IF(O53=0,"",P53/O53)</x:f>
      </x:c>
    </x:row>
    <x:row r="54">
      <x:c r="A54" s="20" t="str">
        <x:v>KP-053</x:v>
      </x:c>
      <x:c r="B54" s="20" t="str">
        <x:v>Process</x:v>
      </x:c>
      <x:c r="C54" s="20" t="str">
        <x:v>PR1</x:v>
      </x:c>
      <x:c r="D54" s="20" t="str">
        <x:v>03</x:v>
      </x:c>
      <x:c r="E54" s="20" t="str">
        <x:v>🟠 高频 High Frequency</x:v>
      </x:c>
      <x:c r="F54" s="20" t="str">
        <x:v>All</x:v>
      </x:c>
      <x:c r="G54" s="29" t="str">
        <x:v>依赖与缺口评估</x:v>
      </x:c>
      <x:c r="H54" s="29" t="str">
        <x:v>Dependency and Gap Assessment</x:v>
      </x:c>
      <x:c r="I54" s="29" t="str">
        <x:v>整合计划并识别跨工作依赖和缺口</x:v>
      </x:c>
      <x:c r="J54" s="29" t="str">
        <x:v>局部最优可能损害整体</x:v>
      </x:c>
      <x:c r="K54" s="20" t="str">
        <x:v>Not Started 未学</x:v>
      </x:c>
      <x:c r="L54" s="23"/>
      <x:c r="M54" s="23"/>
      <x:c r="N54" s="20"/>
      <x:c r="O54" s="20" t="n">
        <x:v>0</x:v>
      </x:c>
      <x:c r="P54" s="20" t="n">
        <x:v>0</x:v>
      </x:c>
      <x:c r="Q54" s="26" t="str">
        <x:f>IF(O54=0,"",P54/O54)</x:f>
      </x:c>
    </x:row>
    <x:row r="55">
      <x:c r="A55" s="20" t="str">
        <x:v>KP-054</x:v>
      </x:c>
      <x:c r="B55" s="20" t="str">
        <x:v>Process</x:v>
      </x:c>
      <x:c r="C55" s="20" t="str">
        <x:v>PR1</x:v>
      </x:c>
      <x:c r="D55" s="20" t="str">
        <x:v>03</x:v>
      </x:c>
      <x:c r="E55" s="20" t="str">
        <x:v>🟠 高频 High Frequency</x:v>
      </x:c>
      <x:c r="F55" s="20" t="str">
        <x:v>All</x:v>
      </x:c>
      <x:c r="G55" s="29" t="str">
        <x:v>数据驱动决策</x:v>
      </x:c>
      <x:c r="H55" s="29" t="str">
        <x:v>Data-informed Decision Making</x:v>
      </x:c>
      <x:c r="I55" s="29" t="str">
        <x:v>收集分析适量数据并结合判断</x:v>
      </x:c>
      <x:c r="J55" s="29" t="str">
        <x:v>AI 或指标不能替代责任判断</x:v>
      </x:c>
      <x:c r="K55" s="20" t="str">
        <x:v>Not Started 未学</x:v>
      </x:c>
      <x:c r="L55" s="23"/>
      <x:c r="M55" s="23"/>
      <x:c r="N55" s="20"/>
      <x:c r="O55" s="20" t="n">
        <x:v>0</x:v>
      </x:c>
      <x:c r="P55" s="20" t="n">
        <x:v>0</x:v>
      </x:c>
      <x:c r="Q55" s="26" t="str">
        <x:f>IF(O55=0,"",P55/O55)</x:f>
      </x:c>
    </x:row>
    <x:row r="56">
      <x:c r="A56" s="20" t="str">
        <x:v>KP-055</x:v>
      </x:c>
      <x:c r="B56" s="20" t="str">
        <x:v>Process</x:v>
      </x:c>
      <x:c r="C56" s="20" t="str">
        <x:v>PR2</x:v>
      </x:c>
      <x:c r="D56" s="20" t="str">
        <x:v>03</x:v>
      </x:c>
      <x:c r="E56" s="20" t="str">
        <x:v>🟡 易错 Easy to Confuse</x:v>
      </x:c>
      <x:c r="F56" s="20" t="str">
        <x:v>Predictive</x:v>
      </x:c>
      <x:c r="G56" s="29" t="str">
        <x:v>需求文件</x:v>
      </x:c>
      <x:c r="H56" s="29" t="str">
        <x:v>Requirements Documentation</x:v>
      </x:c>
      <x:c r="I56" s="29" t="str">
        <x:v>记录可追踪、可验证的需求</x:v>
      </x:c>
      <x:c r="J56" s="29" t="str">
        <x:v>解决方案偏好不一定是真需求</x:v>
      </x:c>
      <x:c r="K56" s="20" t="str">
        <x:v>Not Started 未学</x:v>
      </x:c>
      <x:c r="L56" s="23"/>
      <x:c r="M56" s="23"/>
      <x:c r="N56" s="20"/>
      <x:c r="O56" s="20" t="n">
        <x:v>0</x:v>
      </x:c>
      <x:c r="P56" s="20" t="n">
        <x:v>0</x:v>
      </x:c>
      <x:c r="Q56" s="26" t="str">
        <x:f>IF(O56=0,"",P56/O56)</x:f>
      </x:c>
    </x:row>
    <x:row r="57">
      <x:c r="A57" s="20" t="str">
        <x:v>KP-056</x:v>
      </x:c>
      <x:c r="B57" s="20" t="str">
        <x:v>Process</x:v>
      </x:c>
      <x:c r="C57" s="20" t="str">
        <x:v>PR2</x:v>
      </x:c>
      <x:c r="D57" s="20" t="str">
        <x:v>03</x:v>
      </x:c>
      <x:c r="E57" s="20" t="str">
        <x:v>🟠 高频 High Frequency</x:v>
      </x:c>
      <x:c r="F57" s="20" t="str">
        <x:v>Predictive</x:v>
      </x:c>
      <x:c r="G57" s="29" t="str">
        <x:v>需求跟踪矩阵</x:v>
      </x:c>
      <x:c r="H57" s="29" t="str">
        <x:v>Requirements Traceability Matrix</x:v>
      </x:c>
      <x:c r="I57" s="29" t="str">
        <x:v>把需求关联到来源、交付物、测试和状态</x:v>
      </x:c>
      <x:c r="J57" s="29" t="str">
        <x:v>仅列需求不能称为追踪</x:v>
      </x:c>
      <x:c r="K57" s="20" t="str">
        <x:v>Not Started 未学</x:v>
      </x:c>
      <x:c r="L57" s="23"/>
      <x:c r="M57" s="23"/>
      <x:c r="N57" s="20"/>
      <x:c r="O57" s="20" t="n">
        <x:v>0</x:v>
      </x:c>
      <x:c r="P57" s="20" t="n">
        <x:v>0</x:v>
      </x:c>
      <x:c r="Q57" s="26" t="str">
        <x:f>IF(O57=0,"",P57/O57)</x:f>
      </x:c>
    </x:row>
    <x:row r="58">
      <x:c r="A58" s="20" t="str">
        <x:v>KP-057</x:v>
      </x:c>
      <x:c r="B58" s="20" t="str">
        <x:v>Process</x:v>
      </x:c>
      <x:c r="C58" s="20" t="str">
        <x:v>PR2</x:v>
      </x:c>
      <x:c r="D58" s="20" t="str">
        <x:v>03</x:v>
      </x:c>
      <x:c r="E58" s="20" t="str">
        <x:v>🟡 易错 Easy to Confuse</x:v>
      </x:c>
      <x:c r="F58" s="20" t="str">
        <x:v>Predictive</x:v>
      </x:c>
      <x:c r="G58" s="29" t="str">
        <x:v>项目范围说明书</x:v>
      </x:c>
      <x:c r="H58" s="29" t="str">
        <x:v>Project Scope Statement</x:v>
      </x:c>
      <x:c r="I58" s="29" t="str">
        <x:v>描述产品范围、项目范围、验收标准和除外项</x:v>
      </x:c>
      <x:c r="J58" s="29" t="str">
        <x:v>范围不只包括产品功能</x:v>
      </x:c>
      <x:c r="K58" s="20" t="str">
        <x:v>Not Started 未学</x:v>
      </x:c>
      <x:c r="L58" s="23"/>
      <x:c r="M58" s="23"/>
      <x:c r="N58" s="20"/>
      <x:c r="O58" s="20" t="n">
        <x:v>0</x:v>
      </x:c>
      <x:c r="P58" s="20" t="n">
        <x:v>0</x:v>
      </x:c>
      <x:c r="Q58" s="26" t="str">
        <x:f>IF(O58=0,"",P58/O58)</x:f>
      </x:c>
    </x:row>
    <x:row r="59">
      <x:c r="A59" s="20" t="str">
        <x:v>KP-058</x:v>
      </x:c>
      <x:c r="B59" s="20" t="str">
        <x:v>Process</x:v>
      </x:c>
      <x:c r="C59" s="20" t="str">
        <x:v>PR2</x:v>
      </x:c>
      <x:c r="D59" s="20" t="str">
        <x:v>03</x:v>
      </x:c>
      <x:c r="E59" s="20" t="str">
        <x:v>🔴 必考 Must Know</x:v>
      </x:c>
      <x:c r="F59" s="20" t="str">
        <x:v>Predictive</x:v>
      </x:c>
      <x:c r="G59" s="29" t="str">
        <x:v>工作分解结构</x:v>
      </x:c>
      <x:c r="H59" s="29" t="str">
        <x:v>Work Breakdown Structure (WBS)</x:v>
      </x:c>
      <x:c r="I59" s="29" t="str">
        <x:v>按可交付成果分解全部项目范围</x:v>
      </x:c>
      <x:c r="J59" s="29" t="str">
        <x:v>WBS 不是活动清单</x:v>
      </x:c>
      <x:c r="K59" s="20" t="str">
        <x:v>Not Started 未学</x:v>
      </x:c>
      <x:c r="L59" s="23"/>
      <x:c r="M59" s="23"/>
      <x:c r="N59" s="20"/>
      <x:c r="O59" s="20" t="n">
        <x:v>0</x:v>
      </x:c>
      <x:c r="P59" s="20" t="n">
        <x:v>0</x:v>
      </x:c>
      <x:c r="Q59" s="26" t="str">
        <x:f>IF(O59=0,"",P59/O59)</x:f>
      </x:c>
    </x:row>
    <x:row r="60">
      <x:c r="A60" s="20" t="str">
        <x:v>KP-059</x:v>
      </x:c>
      <x:c r="B60" s="20" t="str">
        <x:v>Process</x:v>
      </x:c>
      <x:c r="C60" s="20" t="str">
        <x:v>PR2</x:v>
      </x:c>
      <x:c r="D60" s="20" t="str">
        <x:v>03</x:v>
      </x:c>
      <x:c r="E60" s="20" t="str">
        <x:v>🟡 易错 Easy to Confuse</x:v>
      </x:c>
      <x:c r="F60" s="20" t="str">
        <x:v>Predictive</x:v>
      </x:c>
      <x:c r="G60" s="29" t="str">
        <x:v>工作包</x:v>
      </x:c>
      <x:c r="H60" s="29" t="str">
        <x:v>Work Package</x:v>
      </x:c>
      <x:c r="I60" s="29" t="str">
        <x:v>可估算、分配、监控的 WBS 最低管理层级</x:v>
      </x:c>
      <x:c r="J60" s="29" t="str">
        <x:v>不一定对应敏捷 User Story</x:v>
      </x:c>
      <x:c r="K60" s="20" t="str">
        <x:v>Not Started 未学</x:v>
      </x:c>
      <x:c r="L60" s="23"/>
      <x:c r="M60" s="23"/>
      <x:c r="N60" s="20"/>
      <x:c r="O60" s="20" t="n">
        <x:v>0</x:v>
      </x:c>
      <x:c r="P60" s="20" t="n">
        <x:v>0</x:v>
      </x:c>
      <x:c r="Q60" s="26" t="str">
        <x:f>IF(O60=0,"",P60/O60)</x:f>
      </x:c>
    </x:row>
    <x:row r="61">
      <x:c r="A61" s="20" t="str">
        <x:v>KP-060</x:v>
      </x:c>
      <x:c r="B61" s="20" t="str">
        <x:v>Process</x:v>
      </x:c>
      <x:c r="C61" s="20" t="str">
        <x:v>PR2</x:v>
      </x:c>
      <x:c r="D61" s="20" t="str">
        <x:v>03</x:v>
      </x:c>
      <x:c r="E61" s="20" t="str">
        <x:v>🔴 必考 Must Know</x:v>
      </x:c>
      <x:c r="F61" s="20" t="str">
        <x:v>Predictive</x:v>
      </x:c>
      <x:c r="G61" s="29" t="str">
        <x:v>范围基准</x:v>
      </x:c>
      <x:c r="H61" s="29" t="str">
        <x:v>Scope Baseline</x:v>
      </x:c>
      <x:c r="I61" s="29" t="str">
        <x:v>范围说明书、WBS 与 WBS 词典</x:v>
      </x:c>
      <x:c r="J61" s="29" t="str">
        <x:v>未经批准的需求不进入基准</x:v>
      </x:c>
      <x:c r="K61" s="20" t="str">
        <x:v>Not Started 未学</x:v>
      </x:c>
      <x:c r="L61" s="23"/>
      <x:c r="M61" s="23"/>
      <x:c r="N61" s="20"/>
      <x:c r="O61" s="20" t="n">
        <x:v>0</x:v>
      </x:c>
      <x:c r="P61" s="20" t="n">
        <x:v>0</x:v>
      </x:c>
      <x:c r="Q61" s="26" t="str">
        <x:f>IF(O61=0,"",P61/O61)</x:f>
      </x:c>
    </x:row>
    <x:row r="62">
      <x:c r="A62" s="20" t="str">
        <x:v>KP-061</x:v>
      </x:c>
      <x:c r="B62" s="20" t="str">
        <x:v>Process</x:v>
      </x:c>
      <x:c r="C62" s="20" t="str">
        <x:v>PR2</x:v>
      </x:c>
      <x:c r="D62" s="20" t="str">
        <x:v>03</x:v>
      </x:c>
      <x:c r="E62" s="20" t="str">
        <x:v>🔴 必考 Must Know</x:v>
      </x:c>
      <x:c r="F62" s="20" t="str">
        <x:v>Predictive</x:v>
      </x:c>
      <x:c r="G62" s="29" t="str">
        <x:v>确认范围</x:v>
      </x:c>
      <x:c r="H62" s="29" t="str">
        <x:v>Validate Scope</x:v>
      </x:c>
      <x:c r="I62" s="29" t="str">
        <x:v>由客户/授权干系人正式验收交付物</x:v>
      </x:c>
      <x:c r="J62" s="29" t="str">
        <x:v>与控制质量易混</x:v>
      </x:c>
      <x:c r="K62" s="20" t="str">
        <x:v>Not Started 未学</x:v>
      </x:c>
      <x:c r="L62" s="23"/>
      <x:c r="M62" s="23"/>
      <x:c r="N62" s="20"/>
      <x:c r="O62" s="20" t="n">
        <x:v>0</x:v>
      </x:c>
      <x:c r="P62" s="20" t="n">
        <x:v>0</x:v>
      </x:c>
      <x:c r="Q62" s="26" t="str">
        <x:f>IF(O62=0,"",P62/O62)</x:f>
      </x:c>
    </x:row>
    <x:row r="63">
      <x:c r="A63" s="20" t="str">
        <x:v>KP-062</x:v>
      </x:c>
      <x:c r="B63" s="20" t="str">
        <x:v>Process</x:v>
      </x:c>
      <x:c r="C63" s="20" t="str">
        <x:v>PR2</x:v>
      </x:c>
      <x:c r="D63" s="20" t="str">
        <x:v>03</x:v>
      </x:c>
      <x:c r="E63" s="20" t="str">
        <x:v>🟡 易错 Easy to Confuse</x:v>
      </x:c>
      <x:c r="F63" s="20" t="str">
        <x:v>Predictive</x:v>
      </x:c>
      <x:c r="G63" s="29" t="str">
        <x:v>控制范围</x:v>
      </x:c>
      <x:c r="H63" s="29" t="str">
        <x:v>Control Scope</x:v>
      </x:c>
      <x:c r="I63" s="29" t="str">
        <x:v>监测范围状态并管理基准变更</x:v>
      </x:c>
      <x:c r="J63" s="29" t="str">
        <x:v>防止 Scope Creep</x:v>
      </x:c>
      <x:c r="K63" s="20" t="str">
        <x:v>Not Started 未学</x:v>
      </x:c>
      <x:c r="L63" s="23"/>
      <x:c r="M63" s="23"/>
      <x:c r="N63" s="20"/>
      <x:c r="O63" s="20" t="n">
        <x:v>0</x:v>
      </x:c>
      <x:c r="P63" s="20" t="n">
        <x:v>0</x:v>
      </x:c>
      <x:c r="Q63" s="26" t="str">
        <x:f>IF(O63=0,"",P63/O63)</x:f>
      </x:c>
    </x:row>
    <x:row r="64">
      <x:c r="A64" s="20" t="str">
        <x:v>KP-063</x:v>
      </x:c>
      <x:c r="B64" s="20" t="str">
        <x:v>Process</x:v>
      </x:c>
      <x:c r="C64" s="20" t="str">
        <x:v>PR2</x:v>
      </x:c>
      <x:c r="D64" s="20" t="str">
        <x:v>03</x:v>
      </x:c>
      <x:c r="E64" s="20" t="str">
        <x:v>🟠 高频 High Frequency</x:v>
      </x:c>
      <x:c r="F64" s="20" t="str">
        <x:v>Predictive</x:v>
      </x:c>
      <x:c r="G64" s="29" t="str">
        <x:v>范围蔓延</x:v>
      </x:c>
      <x:c r="H64" s="29" t="str">
        <x:v>Scope Creep</x:v>
      </x:c>
      <x:c r="I64" s="29" t="str">
        <x:v>未经控制的范围扩张</x:v>
      </x:c>
      <x:c r="J64" s="29" t="str">
        <x:v>小改动也可能累积影响</x:v>
      </x:c>
      <x:c r="K64" s="20" t="str">
        <x:v>Not Started 未学</x:v>
      </x:c>
      <x:c r="L64" s="23"/>
      <x:c r="M64" s="23"/>
      <x:c r="N64" s="20"/>
      <x:c r="O64" s="20" t="n">
        <x:v>0</x:v>
      </x:c>
      <x:c r="P64" s="20" t="n">
        <x:v>0</x:v>
      </x:c>
      <x:c r="Q64" s="26" t="str">
        <x:f>IF(O64=0,"",P64/O64)</x:f>
      </x:c>
    </x:row>
    <x:row r="65">
      <x:c r="A65" s="20" t="str">
        <x:v>KP-064</x:v>
      </x:c>
      <x:c r="B65" s="20" t="str">
        <x:v>Process</x:v>
      </x:c>
      <x:c r="C65" s="20" t="str">
        <x:v>PR3</x:v>
      </x:c>
      <x:c r="D65" s="20" t="str">
        <x:v>03</x:v>
      </x:c>
      <x:c r="E65" s="20" t="str">
        <x:v>🔴 必考 Must Know</x:v>
      </x:c>
      <x:c r="F65" s="20" t="str">
        <x:v>All</x:v>
      </x:c>
      <x:c r="G65" s="29" t="str">
        <x:v>价值组件</x:v>
      </x:c>
      <x:c r="H65" s="29" t="str">
        <x:v>Value Components</x:v>
      </x:c>
      <x:c r="I65" s="29" t="str">
        <x:v>与关键干系人明确价值来源和衡量方式</x:v>
      </x:c>
      <x:c r="J65" s="29" t="str">
        <x:v>不同群体对价值定义可能不同</x:v>
      </x:c>
      <x:c r="K65" s="20" t="str">
        <x:v>Not Started 未学</x:v>
      </x:c>
      <x:c r="L65" s="23"/>
      <x:c r="M65" s="23"/>
      <x:c r="N65" s="20"/>
      <x:c r="O65" s="20" t="n">
        <x:v>0</x:v>
      </x:c>
      <x:c r="P65" s="20" t="n">
        <x:v>0</x:v>
      </x:c>
      <x:c r="Q65" s="26" t="str">
        <x:f>IF(O65=0,"",P65/O65)</x:f>
      </x:c>
    </x:row>
    <x:row r="66">
      <x:c r="A66" s="20" t="str">
        <x:v>KP-065</x:v>
      </x:c>
      <x:c r="B66" s="20" t="str">
        <x:v>Process</x:v>
      </x:c>
      <x:c r="C66" s="20" t="str">
        <x:v>PR3</x:v>
      </x:c>
      <x:c r="D66" s="20" t="str">
        <x:v>03</x:v>
      </x:c>
      <x:c r="E66" s="20" t="str">
        <x:v>🔴 必考 Must Know</x:v>
      </x:c>
      <x:c r="F66" s="20" t="str">
        <x:v>All</x:v>
      </x:c>
      <x:c r="G66" s="29" t="str">
        <x:v>基于价值排序</x:v>
      </x:c>
      <x:c r="H66" s="29" t="str">
        <x:v>Value-based Prioritization</x:v>
      </x:c>
      <x:c r="I66" s="29" t="str">
        <x:v>结合收益、风险、成本和反馈安排工作</x:v>
      </x:c>
      <x:c r="J66" s="29" t="str">
        <x:v>最高声量不等于最高价值</x:v>
      </x:c>
      <x:c r="K66" s="20" t="str">
        <x:v>Not Started 未学</x:v>
      </x:c>
      <x:c r="L66" s="23"/>
      <x:c r="M66" s="23"/>
      <x:c r="N66" s="20"/>
      <x:c r="O66" s="20" t="n">
        <x:v>0</x:v>
      </x:c>
      <x:c r="P66" s="20" t="n">
        <x:v>0</x:v>
      </x:c>
      <x:c r="Q66" s="26" t="str">
        <x:f>IF(O66=0,"",P66/O66)</x:f>
      </x:c>
    </x:row>
    <x:row r="67">
      <x:c r="A67" s="20" t="str">
        <x:v>KP-066</x:v>
      </x:c>
      <x:c r="B67" s="20" t="str">
        <x:v>Process</x:v>
      </x:c>
      <x:c r="C67" s="20" t="str">
        <x:v>PR3</x:v>
      </x:c>
      <x:c r="D67" s="20" t="str">
        <x:v>03</x:v>
      </x:c>
      <x:c r="E67" s="20" t="str">
        <x:v>🔴 必考 Must Know</x:v>
      </x:c>
      <x:c r="F67" s="20" t="str">
        <x:v>All</x:v>
      </x:c>
      <x:c r="G67" s="29" t="str">
        <x:v>增量交付</x:v>
      </x:c>
      <x:c r="H67" s="29" t="str">
        <x:v>Incremental Delivery</x:v>
      </x:c>
      <x:c r="I67" s="29" t="str">
        <x:v>分批交付可用价值并验证假设</x:v>
      </x:c>
      <x:c r="J67" s="29" t="str">
        <x:v>增量不等于半成品</x:v>
      </x:c>
      <x:c r="K67" s="20" t="str">
        <x:v>Not Started 未学</x:v>
      </x:c>
      <x:c r="L67" s="23"/>
      <x:c r="M67" s="23"/>
      <x:c r="N67" s="20"/>
      <x:c r="O67" s="20" t="n">
        <x:v>0</x:v>
      </x:c>
      <x:c r="P67" s="20" t="n">
        <x:v>0</x:v>
      </x:c>
      <x:c r="Q67" s="26" t="str">
        <x:f>IF(O67=0,"",P67/O67)</x:f>
      </x:c>
    </x:row>
    <x:row r="68">
      <x:c r="A68" s="20" t="str">
        <x:v>KP-067</x:v>
      </x:c>
      <x:c r="B68" s="20" t="str">
        <x:v>Process</x:v>
      </x:c>
      <x:c r="C68" s="20" t="str">
        <x:v>PR3</x:v>
      </x:c>
      <x:c r="D68" s="20" t="str">
        <x:v>03</x:v>
      </x:c>
      <x:c r="E68" s="20" t="str">
        <x:v>🟡 易错 Easy to Confuse</x:v>
      </x:c>
      <x:c r="F68" s="20" t="str">
        <x:v>All</x:v>
      </x:c>
      <x:c r="G68" s="29" t="str">
        <x:v>最小可行产品</x:v>
      </x:c>
      <x:c r="H68" s="29" t="str">
        <x:v>Minimum Viable Product (MVP)</x:v>
      </x:c>
      <x:c r="I68" s="29" t="str">
        <x:v>用最小可用产品验证价值假设</x:v>
      </x:c>
      <x:c r="J68" s="29" t="str">
        <x:v>不是质量最低的产品</x:v>
      </x:c>
      <x:c r="K68" s="20" t="str">
        <x:v>Not Started 未学</x:v>
      </x:c>
      <x:c r="L68" s="23"/>
      <x:c r="M68" s="23"/>
      <x:c r="N68" s="20"/>
      <x:c r="O68" s="20" t="n">
        <x:v>0</x:v>
      </x:c>
      <x:c r="P68" s="20" t="n">
        <x:v>0</x:v>
      </x:c>
      <x:c r="Q68" s="26" t="str">
        <x:f>IF(O68=0,"",P68/O68)</x:f>
      </x:c>
    </x:row>
    <x:row r="69">
      <x:c r="A69" s="20" t="str">
        <x:v>KP-068</x:v>
      </x:c>
      <x:c r="B69" s="20" t="str">
        <x:v>Process</x:v>
      </x:c>
      <x:c r="C69" s="20" t="str">
        <x:v>PR3</x:v>
      </x:c>
      <x:c r="D69" s="20" t="str">
        <x:v>03</x:v>
      </x:c>
      <x:c r="E69" s="20" t="str">
        <x:v>🟠 高频 High Frequency</x:v>
      </x:c>
      <x:c r="F69" s="20" t="str">
        <x:v>All</x:v>
      </x:c>
      <x:c r="G69" s="29" t="str">
        <x:v>收益测量系统</x:v>
      </x:c>
      <x:c r="H69" s="29" t="str">
        <x:v>Benefits Measurement System</x:v>
      </x:c>
      <x:c r="I69" s="29" t="str">
        <x:v>定义指标、数据、频率、责任和阈值</x:v>
      </x:c>
      <x:c r="J69" s="29" t="str">
        <x:v>只在收尾测量太晚</x:v>
      </x:c>
      <x:c r="K69" s="20" t="str">
        <x:v>Not Started 未学</x:v>
      </x:c>
      <x:c r="L69" s="23"/>
      <x:c r="M69" s="23"/>
      <x:c r="N69" s="20"/>
      <x:c r="O69" s="20" t="n">
        <x:v>0</x:v>
      </x:c>
      <x:c r="P69" s="20" t="n">
        <x:v>0</x:v>
      </x:c>
      <x:c r="Q69" s="26" t="str">
        <x:f>IF(O69=0,"",P69/O69)</x:f>
      </x:c>
    </x:row>
    <x:row r="70">
      <x:c r="A70" s="20" t="str">
        <x:v>KP-069</x:v>
      </x:c>
      <x:c r="B70" s="20" t="str">
        <x:v>Process</x:v>
      </x:c>
      <x:c r="C70" s="20" t="str">
        <x:v>PR4</x:v>
      </x:c>
      <x:c r="D70" s="20" t="str">
        <x:v>05</x:v>
      </x:c>
      <x:c r="E70" s="20" t="str">
        <x:v>🟠 高频 High Frequency</x:v>
      </x:c>
      <x:c r="F70" s="20" t="str">
        <x:v>All</x:v>
      </x:c>
      <x:c r="G70" s="29" t="str">
        <x:v>资源管理计划</x:v>
      </x:c>
      <x:c r="H70" s="29" t="str">
        <x:v>Resource Management Plan</x:v>
      </x:c>
      <x:c r="I70" s="29" t="str">
        <x:v>规划团队和实物资源的获取、管理与释放</x:v>
      </x:c>
      <x:c r="J70" s="29" t="str">
        <x:v>资源不仅是人员</x:v>
      </x:c>
      <x:c r="K70" s="20" t="str">
        <x:v>Not Started 未学</x:v>
      </x:c>
      <x:c r="L70" s="23"/>
      <x:c r="M70" s="23"/>
      <x:c r="N70" s="20"/>
      <x:c r="O70" s="20" t="n">
        <x:v>0</x:v>
      </x:c>
      <x:c r="P70" s="20" t="n">
        <x:v>0</x:v>
      </x:c>
      <x:c r="Q70" s="26" t="str">
        <x:f>IF(O70=0,"",P70/O70)</x:f>
      </x:c>
    </x:row>
    <x:row r="71">
      <x:c r="A71" s="20" t="str">
        <x:v>KP-070</x:v>
      </x:c>
      <x:c r="B71" s="20" t="str">
        <x:v>Process</x:v>
      </x:c>
      <x:c r="C71" s="20" t="str">
        <x:v>PR4</x:v>
      </x:c>
      <x:c r="D71" s="20" t="str">
        <x:v>05</x:v>
      </x:c>
      <x:c r="E71" s="20" t="str">
        <x:v>🟠 高频 High Frequency</x:v>
      </x:c>
      <x:c r="F71" s="20" t="str">
        <x:v>All</x:v>
      </x:c>
      <x:c r="G71" s="29" t="str">
        <x:v>资源日历</x:v>
      </x:c>
      <x:c r="H71" s="29" t="str">
        <x:v>Resource Calendar</x:v>
      </x:c>
      <x:c r="I71" s="29" t="str">
        <x:v>记录资源可用时间和限制</x:v>
      </x:c>
      <x:c r="J71" s="29" t="str">
        <x:v>不等同项目日历</x:v>
      </x:c>
      <x:c r="K71" s="20" t="str">
        <x:v>Not Started 未学</x:v>
      </x:c>
      <x:c r="L71" s="23"/>
      <x:c r="M71" s="23"/>
      <x:c r="N71" s="20"/>
      <x:c r="O71" s="20" t="n">
        <x:v>0</x:v>
      </x:c>
      <x:c r="P71" s="20" t="n">
        <x:v>0</x:v>
      </x:c>
      <x:c r="Q71" s="26" t="str">
        <x:f>IF(O71=0,"",P71/O71)</x:f>
      </x:c>
    </x:row>
    <x:row r="72">
      <x:c r="A72" s="20" t="str">
        <x:v>KP-071</x:v>
      </x:c>
      <x:c r="B72" s="20" t="str">
        <x:v>Process</x:v>
      </x:c>
      <x:c r="C72" s="20" t="str">
        <x:v>PR4</x:v>
      </x:c>
      <x:c r="D72" s="20" t="str">
        <x:v>05</x:v>
      </x:c>
      <x:c r="E72" s="20" t="str">
        <x:v>🟡 易错 Easy to Confuse</x:v>
      </x:c>
      <x:c r="F72" s="20" t="str">
        <x:v>All</x:v>
      </x:c>
      <x:c r="G72" s="29" t="str">
        <x:v>资源平衡</x:v>
      </x:c>
      <x:c r="H72" s="29" t="str">
        <x:v>Resource Leveling</x:v>
      </x:c>
      <x:c r="I72" s="29" t="str">
        <x:v>改变起止日期以解决资源过载，可能改变关键路径</x:v>
      </x:c>
      <x:c r="J72" s="29" t="str">
        <x:v>与资源平滑易混</x:v>
      </x:c>
      <x:c r="K72" s="20" t="str">
        <x:v>Not Started 未学</x:v>
      </x:c>
      <x:c r="L72" s="23"/>
      <x:c r="M72" s="23"/>
      <x:c r="N72" s="20"/>
      <x:c r="O72" s="20" t="n">
        <x:v>0</x:v>
      </x:c>
      <x:c r="P72" s="20" t="n">
        <x:v>0</x:v>
      </x:c>
      <x:c r="Q72" s="26" t="str">
        <x:f>IF(O72=0,"",P72/O72)</x:f>
      </x:c>
    </x:row>
    <x:row r="73">
      <x:c r="A73" s="20" t="str">
        <x:v>KP-072</x:v>
      </x:c>
      <x:c r="B73" s="20" t="str">
        <x:v>Process</x:v>
      </x:c>
      <x:c r="C73" s="20" t="str">
        <x:v>PR4</x:v>
      </x:c>
      <x:c r="D73" s="20" t="str">
        <x:v>05</x:v>
      </x:c>
      <x:c r="E73" s="20" t="str">
        <x:v>🟡 易错 Easy to Confuse</x:v>
      </x:c>
      <x:c r="F73" s="20" t="str">
        <x:v>All</x:v>
      </x:c>
      <x:c r="G73" s="29" t="str">
        <x:v>资源平滑</x:v>
      </x:c>
      <x:c r="H73" s="29" t="str">
        <x:v>Resource Smoothing</x:v>
      </x:c>
      <x:c r="I73" s="29" t="str">
        <x:v>在浮动时间内调整，不改变关键路径</x:v>
      </x:c>
      <x:c r="J73" s="29" t="str">
        <x:v>无法解决所有过载</x:v>
      </x:c>
      <x:c r="K73" s="20" t="str">
        <x:v>Not Started 未学</x:v>
      </x:c>
      <x:c r="L73" s="23"/>
      <x:c r="M73" s="23"/>
      <x:c r="N73" s="20"/>
      <x:c r="O73" s="20" t="n">
        <x:v>0</x:v>
      </x:c>
      <x:c r="P73" s="20" t="n">
        <x:v>0</x:v>
      </x:c>
      <x:c r="Q73" s="26" t="str">
        <x:f>IF(O73=0,"",P73/O73)</x:f>
      </x:c>
    </x:row>
    <x:row r="74">
      <x:c r="A74" s="20" t="str">
        <x:v>KP-073</x:v>
      </x:c>
      <x:c r="B74" s="20" t="str">
        <x:v>Process</x:v>
      </x:c>
      <x:c r="C74" s="20" t="str">
        <x:v>PR5</x:v>
      </x:c>
      <x:c r="D74" s="20" t="str">
        <x:v>05</x:v>
      </x:c>
      <x:c r="E74" s="20" t="str">
        <x:v>🟠 高频 High Frequency</x:v>
      </x:c>
      <x:c r="F74" s="20" t="str">
        <x:v>Predictive</x:v>
      </x:c>
      <x:c r="G74" s="29" t="str">
        <x:v>自制或外购</x:v>
      </x:c>
      <x:c r="H74" s="29" t="str">
        <x:v>Make-or-Buy Analysis</x:v>
      </x:c>
      <x:c r="I74" s="29" t="str">
        <x:v>比较内部制作与外部采购的全生命周期影响</x:v>
      </x:c>
      <x:c r="J74" s="29" t="str">
        <x:v>不能只比报价</x:v>
      </x:c>
      <x:c r="K74" s="20" t="str">
        <x:v>Not Started 未学</x:v>
      </x:c>
      <x:c r="L74" s="23"/>
      <x:c r="M74" s="23"/>
      <x:c r="N74" s="20"/>
      <x:c r="O74" s="20" t="n">
        <x:v>0</x:v>
      </x:c>
      <x:c r="P74" s="20" t="n">
        <x:v>0</x:v>
      </x:c>
      <x:c r="Q74" s="26" t="str">
        <x:f>IF(O74=0,"",P74/O74)</x:f>
      </x:c>
    </x:row>
    <x:row r="75">
      <x:c r="A75" s="20" t="str">
        <x:v>KP-074</x:v>
      </x:c>
      <x:c r="B75" s="20" t="str">
        <x:v>Process</x:v>
      </x:c>
      <x:c r="C75" s="20" t="str">
        <x:v>PR5</x:v>
      </x:c>
      <x:c r="D75" s="20" t="str">
        <x:v>05</x:v>
      </x:c>
      <x:c r="E75" s="20" t="str">
        <x:v>🔴 必考 Must Know</x:v>
      </x:c>
      <x:c r="F75" s="20" t="str">
        <x:v>Predictive</x:v>
      </x:c>
      <x:c r="G75" s="29" t="str">
        <x:v>固定总价合同</x:v>
      </x:c>
      <x:c r="H75" s="29" t="str">
        <x:v>Fixed-Price Contract</x:v>
      </x:c>
      <x:c r="I75" s="29" t="str">
        <x:v>范围清晰时常用，成本风险更多由卖方承担</x:v>
      </x:c>
      <x:c r="J75" s="29" t="str">
        <x:v>变更可能昂贵</x:v>
      </x:c>
      <x:c r="K75" s="20" t="str">
        <x:v>Not Started 未学</x:v>
      </x:c>
      <x:c r="L75" s="23"/>
      <x:c r="M75" s="23"/>
      <x:c r="N75" s="20"/>
      <x:c r="O75" s="20" t="n">
        <x:v>0</x:v>
      </x:c>
      <x:c r="P75" s="20" t="n">
        <x:v>0</x:v>
      </x:c>
      <x:c r="Q75" s="26" t="str">
        <x:f>IF(O75=0,"",P75/O75)</x:f>
      </x:c>
    </x:row>
    <x:row r="76">
      <x:c r="A76" s="20" t="str">
        <x:v>KP-075</x:v>
      </x:c>
      <x:c r="B76" s="20" t="str">
        <x:v>Process</x:v>
      </x:c>
      <x:c r="C76" s="20" t="str">
        <x:v>PR5</x:v>
      </x:c>
      <x:c r="D76" s="20" t="str">
        <x:v>05</x:v>
      </x:c>
      <x:c r="E76" s="20" t="str">
        <x:v>🔴 必考 Must Know</x:v>
      </x:c>
      <x:c r="F76" s="20" t="str">
        <x:v>Predictive</x:v>
      </x:c>
      <x:c r="G76" s="29" t="str">
        <x:v>成本补偿合同</x:v>
      </x:c>
      <x:c r="H76" s="29" t="str">
        <x:v>Cost-Reimbursable Contract</x:v>
      </x:c>
      <x:c r="I76" s="29" t="str">
        <x:v>买方支付允许成本，成本风险更多由买方承担</x:v>
      </x:c>
      <x:c r="J76" s="29" t="str">
        <x:v>仍需审计和绩效控制</x:v>
      </x:c>
      <x:c r="K76" s="20" t="str">
        <x:v>Not Started 未学</x:v>
      </x:c>
      <x:c r="L76" s="23"/>
      <x:c r="M76" s="23"/>
      <x:c r="N76" s="20"/>
      <x:c r="O76" s="20" t="n">
        <x:v>0</x:v>
      </x:c>
      <x:c r="P76" s="20" t="n">
        <x:v>0</x:v>
      </x:c>
      <x:c r="Q76" s="26" t="str">
        <x:f>IF(O76=0,"",P76/O76)</x:f>
      </x:c>
    </x:row>
    <x:row r="77">
      <x:c r="A77" s="20" t="str">
        <x:v>KP-076</x:v>
      </x:c>
      <x:c r="B77" s="20" t="str">
        <x:v>Process</x:v>
      </x:c>
      <x:c r="C77" s="20" t="str">
        <x:v>PR5</x:v>
      </x:c>
      <x:c r="D77" s="20" t="str">
        <x:v>05</x:v>
      </x:c>
      <x:c r="E77" s="20" t="str">
        <x:v>🟡 易错 Easy to Confuse</x:v>
      </x:c>
      <x:c r="F77" s="20" t="str">
        <x:v>Predictive</x:v>
      </x:c>
      <x:c r="G77" s="29" t="str">
        <x:v>工料合同</x:v>
      </x:c>
      <x:c r="H77" s="29" t="str">
        <x:v>Time and Materials Contract</x:v>
      </x:c>
      <x:c r="I77" s="29" t="str">
        <x:v>按工时与材料付费，兼具两类特征</x:v>
      </x:c>
      <x:c r="J77" s="29" t="str">
        <x:v>需上限和控制以防成本失控</x:v>
      </x:c>
      <x:c r="K77" s="20" t="str">
        <x:v>Not Started 未学</x:v>
      </x:c>
      <x:c r="L77" s="23"/>
      <x:c r="M77" s="23"/>
      <x:c r="N77" s="20"/>
      <x:c r="O77" s="20" t="n">
        <x:v>0</x:v>
      </x:c>
      <x:c r="P77" s="20" t="n">
        <x:v>0</x:v>
      </x:c>
      <x:c r="Q77" s="26" t="str">
        <x:f>IF(O77=0,"",P77/O77)</x:f>
      </x:c>
    </x:row>
    <x:row r="78">
      <x:c r="A78" s="20" t="str">
        <x:v>KP-077</x:v>
      </x:c>
      <x:c r="B78" s="20" t="str">
        <x:v>Process</x:v>
      </x:c>
      <x:c r="C78" s="20" t="str">
        <x:v>PR5</x:v>
      </x:c>
      <x:c r="D78" s="20" t="str">
        <x:v>05</x:v>
      </x:c>
      <x:c r="E78" s="20" t="str">
        <x:v>🟠 高频 High Frequency</x:v>
      </x:c>
      <x:c r="F78" s="20" t="str">
        <x:v>Predictive</x:v>
      </x:c>
      <x:c r="G78" s="29" t="str">
        <x:v>采购谈判</x:v>
      </x:c>
      <x:c r="H78" s="29" t="str">
        <x:v>Procurement Negotiation</x:v>
      </x:c>
      <x:c r="I78" s="29" t="str">
        <x:v>基于目标、权限、备选方案和关系制定策略</x:v>
      </x:c>
      <x:c r="J78" s="29" t="str">
        <x:v>项目经理未必有签约权限</x:v>
      </x:c>
      <x:c r="K78" s="20" t="str">
        <x:v>Not Started 未学</x:v>
      </x:c>
      <x:c r="L78" s="23"/>
      <x:c r="M78" s="23"/>
      <x:c r="N78" s="20"/>
      <x:c r="O78" s="20" t="n">
        <x:v>0</x:v>
      </x:c>
      <x:c r="P78" s="20" t="n">
        <x:v>0</x:v>
      </x:c>
      <x:c r="Q78" s="26" t="str">
        <x:f>IF(O78=0,"",P78/O78)</x:f>
      </x:c>
    </x:row>
    <x:row r="79">
      <x:c r="A79" s="20" t="str">
        <x:v>KP-078</x:v>
      </x:c>
      <x:c r="B79" s="20" t="str">
        <x:v>Process</x:v>
      </x:c>
      <x:c r="C79" s="20" t="str">
        <x:v>PR5</x:v>
      </x:c>
      <x:c r="D79" s="20" t="str">
        <x:v>05</x:v>
      </x:c>
      <x:c r="E79" s="20" t="str">
        <x:v>🟠 高频 High Frequency</x:v>
      </x:c>
      <x:c r="F79" s="20" t="str">
        <x:v>Predictive</x:v>
      </x:c>
      <x:c r="G79" s="29" t="str">
        <x:v>供应商绩效</x:v>
      </x:c>
      <x:c r="H79" s="29" t="str">
        <x:v>Vendor Performance</x:v>
      </x:c>
      <x:c r="I79" s="29" t="str">
        <x:v>按协议指标监测质量、进度、成本与合规</x:v>
      </x:c>
      <x:c r="J79" s="29" t="str">
        <x:v>先依据合同事实处理</x:v>
      </x:c>
      <x:c r="K79" s="20" t="str">
        <x:v>Not Started 未学</x:v>
      </x:c>
      <x:c r="L79" s="23"/>
      <x:c r="M79" s="23"/>
      <x:c r="N79" s="20"/>
      <x:c r="O79" s="20" t="n">
        <x:v>0</x:v>
      </x:c>
      <x:c r="P79" s="20" t="n">
        <x:v>0</x:v>
      </x:c>
      <x:c r="Q79" s="26" t="str">
        <x:f>IF(O79=0,"",P79/O79)</x:f>
      </x:c>
    </x:row>
    <x:row r="80">
      <x:c r="A80" s="20" t="str">
        <x:v>KP-079</x:v>
      </x:c>
      <x:c r="B80" s="20" t="str">
        <x:v>Process</x:v>
      </x:c>
      <x:c r="C80" s="20" t="str">
        <x:v>PR6</x:v>
      </x:c>
      <x:c r="D80" s="20" t="str">
        <x:v>04</x:v>
      </x:c>
      <x:c r="E80" s="20" t="str">
        <x:v>🟠 高频 High Frequency</x:v>
      </x:c>
      <x:c r="F80" s="20" t="str">
        <x:v>Predictive</x:v>
      </x:c>
      <x:c r="G80" s="29" t="str">
        <x:v>项目财务需求</x:v>
      </x:c>
      <x:c r="H80" s="29" t="str">
        <x:v>Project Financial Needs</x:v>
      </x:c>
      <x:c r="I80" s="29" t="str">
        <x:v>规划资金、现金流、报告与治理需求</x:v>
      </x:c>
      <x:c r="J80" s="29" t="str">
        <x:v>预算批准不代表资金随时可用</x:v>
      </x:c>
      <x:c r="K80" s="20" t="str">
        <x:v>Not Started 未学</x:v>
      </x:c>
      <x:c r="L80" s="23"/>
      <x:c r="M80" s="23"/>
      <x:c r="N80" s="20"/>
      <x:c r="O80" s="20" t="n">
        <x:v>0</x:v>
      </x:c>
      <x:c r="P80" s="20" t="n">
        <x:v>0</x:v>
      </x:c>
      <x:c r="Q80" s="26" t="str">
        <x:f>IF(O80=0,"",P80/O80)</x:f>
      </x:c>
    </x:row>
    <x:row r="81">
      <x:c r="A81" s="20" t="str">
        <x:v>KP-080</x:v>
      </x:c>
      <x:c r="B81" s="20" t="str">
        <x:v>Process</x:v>
      </x:c>
      <x:c r="C81" s="20" t="str">
        <x:v>PR6</x:v>
      </x:c>
      <x:c r="D81" s="20" t="str">
        <x:v>04</x:v>
      </x:c>
      <x:c r="E81" s="20" t="str">
        <x:v>🟡 易错 Easy to Confuse</x:v>
      </x:c>
      <x:c r="F81" s="20" t="str">
        <x:v>Predictive</x:v>
      </x:c>
      <x:c r="G81" s="29" t="str">
        <x:v>成本基准</x:v>
      </x:c>
      <x:c r="H81" s="29" t="str">
        <x:v>Cost Baseline</x:v>
      </x:c>
      <x:c r="I81" s="29" t="str">
        <x:v>经批准、按时间分配的项目预算，不含管理储备</x:v>
      </x:c>
      <x:c r="J81" s="29" t="str">
        <x:v>与项目预算易混</x:v>
      </x:c>
      <x:c r="K81" s="20" t="str">
        <x:v>Not Started 未学</x:v>
      </x:c>
      <x:c r="L81" s="23"/>
      <x:c r="M81" s="23"/>
      <x:c r="N81" s="20"/>
      <x:c r="O81" s="20" t="n">
        <x:v>0</x:v>
      </x:c>
      <x:c r="P81" s="20" t="n">
        <x:v>0</x:v>
      </x:c>
      <x:c r="Q81" s="26" t="str">
        <x:f>IF(O81=0,"",P81/O81)</x:f>
      </x:c>
    </x:row>
    <x:row r="82">
      <x:c r="A82" s="20" t="str">
        <x:v>KP-081</x:v>
      </x:c>
      <x:c r="B82" s="20" t="str">
        <x:v>Process</x:v>
      </x:c>
      <x:c r="C82" s="20" t="str">
        <x:v>PR6</x:v>
      </x:c>
      <x:c r="D82" s="20" t="str">
        <x:v>04</x:v>
      </x:c>
      <x:c r="E82" s="20" t="str">
        <x:v>🔴 必考 Must Know</x:v>
      </x:c>
      <x:c r="F82" s="20" t="str">
        <x:v>Predictive</x:v>
      </x:c>
      <x:c r="G82" s="29" t="str">
        <x:v>应急储备</x:v>
      </x:c>
      <x:c r="H82" s="29" t="str">
        <x:v>Contingency Reserve</x:v>
      </x:c>
      <x:c r="I82" s="29" t="str">
        <x:v>针对已识别风险的已知未知，通常在基准内</x:v>
      </x:c>
      <x:c r="J82" s="29" t="str">
        <x:v>与管理储备易混</x:v>
      </x:c>
      <x:c r="K82" s="20" t="str">
        <x:v>Not Started 未学</x:v>
      </x:c>
      <x:c r="L82" s="23"/>
      <x:c r="M82" s="23"/>
      <x:c r="N82" s="20"/>
      <x:c r="O82" s="20" t="n">
        <x:v>0</x:v>
      </x:c>
      <x:c r="P82" s="20" t="n">
        <x:v>0</x:v>
      </x:c>
      <x:c r="Q82" s="26" t="str">
        <x:f>IF(O82=0,"",P82/O82)</x:f>
      </x:c>
    </x:row>
    <x:row r="83">
      <x:c r="A83" s="20" t="str">
        <x:v>KP-082</x:v>
      </x:c>
      <x:c r="B83" s="20" t="str">
        <x:v>Process</x:v>
      </x:c>
      <x:c r="C83" s="20" t="str">
        <x:v>PR6</x:v>
      </x:c>
      <x:c r="D83" s="20" t="str">
        <x:v>04</x:v>
      </x:c>
      <x:c r="E83" s="20" t="str">
        <x:v>🔴 必考 Must Know</x:v>
      </x:c>
      <x:c r="F83" s="20" t="str">
        <x:v>Predictive</x:v>
      </x:c>
      <x:c r="G83" s="29" t="str">
        <x:v>管理储备</x:v>
      </x:c>
      <x:c r="H83" s="29" t="str">
        <x:v>Management Reserve</x:v>
      </x:c>
      <x:c r="I83" s="29" t="str">
        <x:v>针对未知未知，通常不在成本基准内</x:v>
      </x:c>
      <x:c r="J83" s="29" t="str">
        <x:v>动用通常需治理批准</x:v>
      </x:c>
      <x:c r="K83" s="20" t="str">
        <x:v>Not Started 未学</x:v>
      </x:c>
      <x:c r="L83" s="23"/>
      <x:c r="M83" s="23"/>
      <x:c r="N83" s="20"/>
      <x:c r="O83" s="20" t="n">
        <x:v>0</x:v>
      </x:c>
      <x:c r="P83" s="20" t="n">
        <x:v>0</x:v>
      </x:c>
      <x:c r="Q83" s="26" t="str">
        <x:f>IF(O83=0,"",P83/O83)</x:f>
      </x:c>
    </x:row>
    <x:row r="84">
      <x:c r="A84" s="20" t="str">
        <x:v>KP-083</x:v>
      </x:c>
      <x:c r="B84" s="20" t="str">
        <x:v>Process</x:v>
      </x:c>
      <x:c r="C84" s="20" t="str">
        <x:v>PR6</x:v>
      </x:c>
      <x:c r="D84" s="20" t="str">
        <x:v>04</x:v>
      </x:c>
      <x:c r="E84" s="20" t="str">
        <x:v>🟡 易错 Easy to Confuse</x:v>
      </x:c>
      <x:c r="F84" s="20" t="str">
        <x:v>Predictive</x:v>
      </x:c>
      <x:c r="G84" s="29" t="str">
        <x:v>计划价值</x:v>
      </x:c>
      <x:c r="H84" s="29" t="str">
        <x:v>Planned Value (PV)</x:v>
      </x:c>
      <x:c r="I84" s="29" t="str">
        <x:v>截至状态日计划完成工作的预算价值</x:v>
      </x:c>
      <x:c r="J84" s="29" t="str">
        <x:v>不是实际花费</x:v>
      </x:c>
      <x:c r="K84" s="20" t="str">
        <x:v>Not Started 未学</x:v>
      </x:c>
      <x:c r="L84" s="23"/>
      <x:c r="M84" s="23"/>
      <x:c r="N84" s="20"/>
      <x:c r="O84" s="20" t="n">
        <x:v>0</x:v>
      </x:c>
      <x:c r="P84" s="20" t="n">
        <x:v>0</x:v>
      </x:c>
      <x:c r="Q84" s="26" t="str">
        <x:f>IF(O84=0,"",P84/O84)</x:f>
      </x:c>
    </x:row>
    <x:row r="85">
      <x:c r="A85" s="20" t="str">
        <x:v>KP-084</x:v>
      </x:c>
      <x:c r="B85" s="20" t="str">
        <x:v>Process</x:v>
      </x:c>
      <x:c r="C85" s="20" t="str">
        <x:v>PR6</x:v>
      </x:c>
      <x:c r="D85" s="20" t="str">
        <x:v>04</x:v>
      </x:c>
      <x:c r="E85" s="20" t="str">
        <x:v>🟡 易错 Easy to Confuse</x:v>
      </x:c>
      <x:c r="F85" s="20" t="str">
        <x:v>Predictive</x:v>
      </x:c>
      <x:c r="G85" s="29" t="str">
        <x:v>挣值</x:v>
      </x:c>
      <x:c r="H85" s="29" t="str">
        <x:v>Earned Value (EV)</x:v>
      </x:c>
      <x:c r="I85" s="29" t="str">
        <x:v>实际完成工作的预算价值</x:v>
      </x:c>
      <x:c r="J85" s="29" t="str">
        <x:v>不是收入</x:v>
      </x:c>
      <x:c r="K85" s="20" t="str">
        <x:v>Not Started 未学</x:v>
      </x:c>
      <x:c r="L85" s="23"/>
      <x:c r="M85" s="23"/>
      <x:c r="N85" s="20"/>
      <x:c r="O85" s="20" t="n">
        <x:v>0</x:v>
      </x:c>
      <x:c r="P85" s="20" t="n">
        <x:v>0</x:v>
      </x:c>
      <x:c r="Q85" s="26" t="str">
        <x:f>IF(O85=0,"",P85/O85)</x:f>
      </x:c>
    </x:row>
    <x:row r="86">
      <x:c r="A86" s="20" t="str">
        <x:v>KP-085</x:v>
      </x:c>
      <x:c r="B86" s="20" t="str">
        <x:v>Process</x:v>
      </x:c>
      <x:c r="C86" s="20" t="str">
        <x:v>PR6</x:v>
      </x:c>
      <x:c r="D86" s="20" t="str">
        <x:v>04</x:v>
      </x:c>
      <x:c r="E86" s="20" t="str">
        <x:v>🟡 易错 Easy to Confuse</x:v>
      </x:c>
      <x:c r="F86" s="20" t="str">
        <x:v>Predictive</x:v>
      </x:c>
      <x:c r="G86" s="29" t="str">
        <x:v>实际成本</x:v>
      </x:c>
      <x:c r="H86" s="29" t="str">
        <x:v>Actual Cost (AC)</x:v>
      </x:c>
      <x:c r="I86" s="29" t="str">
        <x:v>已完成工作实际发生的成本</x:v>
      </x:c>
      <x:c r="J86" s="29" t="str">
        <x:v>与 EV 单位可比但含义不同</x:v>
      </x:c>
      <x:c r="K86" s="20" t="str">
        <x:v>Not Started 未学</x:v>
      </x:c>
      <x:c r="L86" s="23"/>
      <x:c r="M86" s="23"/>
      <x:c r="N86" s="20"/>
      <x:c r="O86" s="20" t="n">
        <x:v>0</x:v>
      </x:c>
      <x:c r="P86" s="20" t="n">
        <x:v>0</x:v>
      </x:c>
      <x:c r="Q86" s="26" t="str">
        <x:f>IF(O86=0,"",P86/O86)</x:f>
      </x:c>
    </x:row>
    <x:row r="87">
      <x:c r="A87" s="20" t="str">
        <x:v>KP-086</x:v>
      </x:c>
      <x:c r="B87" s="20" t="str">
        <x:v>Process</x:v>
      </x:c>
      <x:c r="C87" s="20" t="str">
        <x:v>PR6</x:v>
      </x:c>
      <x:c r="D87" s="20" t="str">
        <x:v>04</x:v>
      </x:c>
      <x:c r="E87" s="20" t="str">
        <x:v>🔴 必考 Must Know</x:v>
      </x:c>
      <x:c r="F87" s="20" t="str">
        <x:v>Predictive</x:v>
      </x:c>
      <x:c r="G87" s="29" t="str">
        <x:v>成本偏差</x:v>
      </x:c>
      <x:c r="H87" s="29" t="str">
        <x:v>Cost Variance (CV)</x:v>
      </x:c>
      <x:c r="I87" s="29" t="str">
        <x:v>CV=EV-AC；正值有利</x:v>
      </x:c>
      <x:c r="J87" s="29" t="str">
        <x:v>正负方向与口语成本超支易混</x:v>
      </x:c>
      <x:c r="K87" s="20" t="str">
        <x:v>Not Started 未学</x:v>
      </x:c>
      <x:c r="L87" s="23"/>
      <x:c r="M87" s="23"/>
      <x:c r="N87" s="20"/>
      <x:c r="O87" s="20" t="n">
        <x:v>0</x:v>
      </x:c>
      <x:c r="P87" s="20" t="n">
        <x:v>0</x:v>
      </x:c>
      <x:c r="Q87" s="26" t="str">
        <x:f>IF(O87=0,"",P87/O87)</x:f>
      </x:c>
    </x:row>
    <x:row r="88">
      <x:c r="A88" s="20" t="str">
        <x:v>KP-087</x:v>
      </x:c>
      <x:c r="B88" s="20" t="str">
        <x:v>Process</x:v>
      </x:c>
      <x:c r="C88" s="20" t="str">
        <x:v>PR6</x:v>
      </x:c>
      <x:c r="D88" s="20" t="str">
        <x:v>04</x:v>
      </x:c>
      <x:c r="E88" s="20" t="str">
        <x:v>🔴 必考 Must Know</x:v>
      </x:c>
      <x:c r="F88" s="20" t="str">
        <x:v>Predictive</x:v>
      </x:c>
      <x:c r="G88" s="29" t="str">
        <x:v>进度偏差</x:v>
      </x:c>
      <x:c r="H88" s="29" t="str">
        <x:v>Schedule Variance (SV)</x:v>
      </x:c>
      <x:c r="I88" s="29" t="str">
        <x:v>SV=EV-PV；正值表示领先</x:v>
      </x:c>
      <x:c r="J88" s="29" t="str">
        <x:v>项目结束时 SV 通常为 0</x:v>
      </x:c>
      <x:c r="K88" s="20" t="str">
        <x:v>Not Started 未学</x:v>
      </x:c>
      <x:c r="L88" s="23"/>
      <x:c r="M88" s="23"/>
      <x:c r="N88" s="20"/>
      <x:c r="O88" s="20" t="n">
        <x:v>0</x:v>
      </x:c>
      <x:c r="P88" s="20" t="n">
        <x:v>0</x:v>
      </x:c>
      <x:c r="Q88" s="26" t="str">
        <x:f>IF(O88=0,"",P88/O88)</x:f>
      </x:c>
    </x:row>
    <x:row r="89">
      <x:c r="A89" s="20" t="str">
        <x:v>KP-088</x:v>
      </x:c>
      <x:c r="B89" s="20" t="str">
        <x:v>Process</x:v>
      </x:c>
      <x:c r="C89" s="20" t="str">
        <x:v>PR6</x:v>
      </x:c>
      <x:c r="D89" s="20" t="str">
        <x:v>04</x:v>
      </x:c>
      <x:c r="E89" s="20" t="str">
        <x:v>🔴 必考 Must Know</x:v>
      </x:c>
      <x:c r="F89" s="20" t="str">
        <x:v>Predictive</x:v>
      </x:c>
      <x:c r="G89" s="29" t="str">
        <x:v>成本绩效指数</x:v>
      </x:c>
      <x:c r="H89" s="29" t="str">
        <x:v>Cost Performance Index (CPI)</x:v>
      </x:c>
      <x:c r="I89" s="29" t="str">
        <x:v>CPI=EV/AC；大于 1 有利</x:v>
      </x:c>
      <x:c r="J89" s="29" t="str">
        <x:v>分子必须是 EV</x:v>
      </x:c>
      <x:c r="K89" s="20" t="str">
        <x:v>Not Started 未学</x:v>
      </x:c>
      <x:c r="L89" s="23"/>
      <x:c r="M89" s="23"/>
      <x:c r="N89" s="20"/>
      <x:c r="O89" s="20" t="n">
        <x:v>0</x:v>
      </x:c>
      <x:c r="P89" s="20" t="n">
        <x:v>0</x:v>
      </x:c>
      <x:c r="Q89" s="26" t="str">
        <x:f>IF(O89=0,"",P89/O89)</x:f>
      </x:c>
    </x:row>
    <x:row r="90">
      <x:c r="A90" s="20" t="str">
        <x:v>KP-089</x:v>
      </x:c>
      <x:c r="B90" s="20" t="str">
        <x:v>Process</x:v>
      </x:c>
      <x:c r="C90" s="20" t="str">
        <x:v>PR6</x:v>
      </x:c>
      <x:c r="D90" s="20" t="str">
        <x:v>04</x:v>
      </x:c>
      <x:c r="E90" s="20" t="str">
        <x:v>🔴 必考 Must Know</x:v>
      </x:c>
      <x:c r="F90" s="20" t="str">
        <x:v>Predictive</x:v>
      </x:c>
      <x:c r="G90" s="29" t="str">
        <x:v>进度绩效指数</x:v>
      </x:c>
      <x:c r="H90" s="29" t="str">
        <x:v>Schedule Performance Index (SPI)</x:v>
      </x:c>
      <x:c r="I90" s="29" t="str">
        <x:v>SPI=EV/PV；大于 1 有利</x:v>
      </x:c>
      <x:c r="J90" s="29" t="str">
        <x:v>不能直接表示落后多少天</x:v>
      </x:c>
      <x:c r="K90" s="20" t="str">
        <x:v>Not Started 未学</x:v>
      </x:c>
      <x:c r="L90" s="23"/>
      <x:c r="M90" s="23"/>
      <x:c r="N90" s="20"/>
      <x:c r="O90" s="20" t="n">
        <x:v>0</x:v>
      </x:c>
      <x:c r="P90" s="20" t="n">
        <x:v>0</x:v>
      </x:c>
      <x:c r="Q90" s="26" t="str">
        <x:f>IF(O90=0,"",P90/O90)</x:f>
      </x:c>
    </x:row>
    <x:row r="91">
      <x:c r="A91" s="20" t="str">
        <x:v>KP-090</x:v>
      </x:c>
      <x:c r="B91" s="20" t="str">
        <x:v>Process</x:v>
      </x:c>
      <x:c r="C91" s="20" t="str">
        <x:v>PR6</x:v>
      </x:c>
      <x:c r="D91" s="20" t="str">
        <x:v>04</x:v>
      </x:c>
      <x:c r="E91" s="20" t="str">
        <x:v>🟡 易错 Easy to Confuse</x:v>
      </x:c>
      <x:c r="F91" s="20" t="str">
        <x:v>Predictive</x:v>
      </x:c>
      <x:c r="G91" s="29" t="str">
        <x:v>完工估算</x:v>
      </x:c>
      <x:c r="H91" s="29" t="str">
        <x:v>Estimate at Completion (EAC)</x:v>
      </x:c>
      <x:c r="I91" s="29" t="str">
        <x:v>按未来绩效假设选择公式</x:v>
      </x:c>
      <x:c r="J91" s="29" t="str">
        <x:v>先判断当前偏差是否持续</x:v>
      </x:c>
      <x:c r="K91" s="20" t="str">
        <x:v>Not Started 未学</x:v>
      </x:c>
      <x:c r="L91" s="23"/>
      <x:c r="M91" s="23"/>
      <x:c r="N91" s="20"/>
      <x:c r="O91" s="20" t="n">
        <x:v>0</x:v>
      </x:c>
      <x:c r="P91" s="20" t="n">
        <x:v>0</x:v>
      </x:c>
      <x:c r="Q91" s="26" t="str">
        <x:f>IF(O91=0,"",P91/O91)</x:f>
      </x:c>
    </x:row>
    <x:row r="92">
      <x:c r="A92" s="20" t="str">
        <x:v>KP-091</x:v>
      </x:c>
      <x:c r="B92" s="20" t="str">
        <x:v>Process</x:v>
      </x:c>
      <x:c r="C92" s="20" t="str">
        <x:v>PR6</x:v>
      </x:c>
      <x:c r="D92" s="20" t="str">
        <x:v>04</x:v>
      </x:c>
      <x:c r="E92" s="20" t="str">
        <x:v>🟡 易错 Easy to Confuse</x:v>
      </x:c>
      <x:c r="F92" s="20" t="str">
        <x:v>Predictive</x:v>
      </x:c>
      <x:c r="G92" s="29" t="str">
        <x:v>完工尚需绩效指数</x:v>
      </x:c>
      <x:c r="H92" s="29" t="str">
        <x:v>To-Complete Performance Index (TCPI)</x:v>
      </x:c>
      <x:c r="I92" s="29" t="str">
        <x:v>衡量剩余工作需达到的成本效率</x:v>
      </x:c>
      <x:c r="J92" s="29" t="str">
        <x:v>分母取 BAC-AC 或 EAC-AC 取决目标</x:v>
      </x:c>
      <x:c r="K92" s="20" t="str">
        <x:v>Not Started 未学</x:v>
      </x:c>
      <x:c r="L92" s="23"/>
      <x:c r="M92" s="23"/>
      <x:c r="N92" s="20"/>
      <x:c r="O92" s="20" t="n">
        <x:v>0</x:v>
      </x:c>
      <x:c r="P92" s="20" t="n">
        <x:v>0</x:v>
      </x:c>
      <x:c r="Q92" s="26" t="str">
        <x:f>IF(O92=0,"",P92/O92)</x:f>
      </x:c>
    </x:row>
    <x:row r="93">
      <x:c r="A93" s="20" t="str">
        <x:v>KP-092</x:v>
      </x:c>
      <x:c r="B93" s="20" t="str">
        <x:v>Process</x:v>
      </x:c>
      <x:c r="C93" s="20" t="str">
        <x:v>PR7</x:v>
      </x:c>
      <x:c r="D93" s="20" t="str">
        <x:v>05</x:v>
      </x:c>
      <x:c r="E93" s="20" t="str">
        <x:v>🟠 高频 High Frequency</x:v>
      </x:c>
      <x:c r="F93" s="20" t="str">
        <x:v>All</x:v>
      </x:c>
      <x:c r="G93" s="29" t="str">
        <x:v>质量管理计划</x:v>
      </x:c>
      <x:c r="H93" s="29" t="str">
        <x:v>Quality Management Plan</x:v>
      </x:c>
      <x:c r="I93" s="29" t="str">
        <x:v>规定标准、度量、保证和控制方法</x:v>
      </x:c>
      <x:c r="J93" s="29" t="str">
        <x:v>质量是规划出来的，不是只靠检验</x:v>
      </x:c>
      <x:c r="K93" s="20" t="str">
        <x:v>Not Started 未学</x:v>
      </x:c>
      <x:c r="L93" s="23"/>
      <x:c r="M93" s="23"/>
      <x:c r="N93" s="20"/>
      <x:c r="O93" s="20" t="n">
        <x:v>0</x:v>
      </x:c>
      <x:c r="P93" s="20" t="n">
        <x:v>0</x:v>
      </x:c>
      <x:c r="Q93" s="26" t="str">
        <x:f>IF(O93=0,"",P93/O93)</x:f>
      </x:c>
    </x:row>
    <x:row r="94">
      <x:c r="A94" s="20" t="str">
        <x:v>KP-093</x:v>
      </x:c>
      <x:c r="B94" s="20" t="str">
        <x:v>Process</x:v>
      </x:c>
      <x:c r="C94" s="20" t="str">
        <x:v>PR7</x:v>
      </x:c>
      <x:c r="D94" s="20" t="str">
        <x:v>05</x:v>
      </x:c>
      <x:c r="E94" s="20" t="str">
        <x:v>🟠 高频 High Frequency</x:v>
      </x:c>
      <x:c r="F94" s="20" t="str">
        <x:v>All</x:v>
      </x:c>
      <x:c r="G94" s="29" t="str">
        <x:v>预防优于检查</x:v>
      </x:c>
      <x:c r="H94" s="29" t="str">
        <x:v>Prevention over Inspection</x:v>
      </x:c>
      <x:c r="I94" s="29" t="str">
        <x:v>在过程内建质量以减少缺陷</x:v>
      </x:c>
      <x:c r="J94" s="29" t="str">
        <x:v>检查仍有必要但不是唯一手段</x:v>
      </x:c>
      <x:c r="K94" s="20" t="str">
        <x:v>Not Started 未学</x:v>
      </x:c>
      <x:c r="L94" s="23"/>
      <x:c r="M94" s="23"/>
      <x:c r="N94" s="20"/>
      <x:c r="O94" s="20" t="n">
        <x:v>0</x:v>
      </x:c>
      <x:c r="P94" s="20" t="n">
        <x:v>0</x:v>
      </x:c>
      <x:c r="Q94" s="26" t="str">
        <x:f>IF(O94=0,"",P94/O94)</x:f>
      </x:c>
    </x:row>
    <x:row r="95">
      <x:c r="A95" s="20" t="str">
        <x:v>KP-094</x:v>
      </x:c>
      <x:c r="B95" s="20" t="str">
        <x:v>Process</x:v>
      </x:c>
      <x:c r="C95" s="20" t="str">
        <x:v>PR7</x:v>
      </x:c>
      <x:c r="D95" s="20" t="str">
        <x:v>05</x:v>
      </x:c>
      <x:c r="E95" s="20" t="str">
        <x:v>🟡 易错 Easy to Confuse</x:v>
      </x:c>
      <x:c r="F95" s="20" t="str">
        <x:v>All</x:v>
      </x:c>
      <x:c r="G95" s="29" t="str">
        <x:v>一致成本</x:v>
      </x:c>
      <x:c r="H95" s="29" t="str">
        <x:v>Cost of Conformance</x:v>
      </x:c>
      <x:c r="I95" s="29" t="str">
        <x:v>预防与评估成本</x:v>
      </x:c>
      <x:c r="J95" s="29" t="str">
        <x:v>与失败成本易混</x:v>
      </x:c>
      <x:c r="K95" s="20" t="str">
        <x:v>Not Started 未学</x:v>
      </x:c>
      <x:c r="L95" s="23"/>
      <x:c r="M95" s="23"/>
      <x:c r="N95" s="20"/>
      <x:c r="O95" s="20" t="n">
        <x:v>0</x:v>
      </x:c>
      <x:c r="P95" s="20" t="n">
        <x:v>0</x:v>
      </x:c>
      <x:c r="Q95" s="26" t="str">
        <x:f>IF(O95=0,"",P95/O95)</x:f>
      </x:c>
    </x:row>
    <x:row r="96">
      <x:c r="A96" s="20" t="str">
        <x:v>KP-095</x:v>
      </x:c>
      <x:c r="B96" s="20" t="str">
        <x:v>Process</x:v>
      </x:c>
      <x:c r="C96" s="20" t="str">
        <x:v>PR7</x:v>
      </x:c>
      <x:c r="D96" s="20" t="str">
        <x:v>05</x:v>
      </x:c>
      <x:c r="E96" s="20" t="str">
        <x:v>🟡 易错 Easy to Confuse</x:v>
      </x:c>
      <x:c r="F96" s="20" t="str">
        <x:v>All</x:v>
      </x:c>
      <x:c r="G96" s="29" t="str">
        <x:v>非一致成本</x:v>
      </x:c>
      <x:c r="H96" s="29" t="str">
        <x:v>Cost of Nonconformance</x:v>
      </x:c>
      <x:c r="I96" s="29" t="str">
        <x:v>内部/外部失败成本</x:v>
      </x:c>
      <x:c r="J96" s="29" t="str">
        <x:v>外部失败通常更昂贵</x:v>
      </x:c>
      <x:c r="K96" s="20" t="str">
        <x:v>Not Started 未学</x:v>
      </x:c>
      <x:c r="L96" s="23"/>
      <x:c r="M96" s="23"/>
      <x:c r="N96" s="20"/>
      <x:c r="O96" s="20" t="n">
        <x:v>0</x:v>
      </x:c>
      <x:c r="P96" s="20" t="n">
        <x:v>0</x:v>
      </x:c>
      <x:c r="Q96" s="26" t="str">
        <x:f>IF(O96=0,"",P96/O96)</x:f>
      </x:c>
    </x:row>
    <x:row r="97">
      <x:c r="A97" s="20" t="str">
        <x:v>KP-096</x:v>
      </x:c>
      <x:c r="B97" s="20" t="str">
        <x:v>Process</x:v>
      </x:c>
      <x:c r="C97" s="20" t="str">
        <x:v>PR7</x:v>
      </x:c>
      <x:c r="D97" s="20" t="str">
        <x:v>05</x:v>
      </x:c>
      <x:c r="E97" s="20" t="str">
        <x:v>🔴 必考 Must Know</x:v>
      </x:c>
      <x:c r="F97" s="20" t="str">
        <x:v>All</x:v>
      </x:c>
      <x:c r="G97" s="29" t="str">
        <x:v>控制质量</x:v>
      </x:c>
      <x:c r="H97" s="29" t="str">
        <x:v>Control Quality</x:v>
      </x:c>
      <x:c r="I97" s="29" t="str">
        <x:v>检查结果是否符合质量要求并产生核实的交付物</x:v>
      </x:c>
      <x:c r="J97" s="29" t="str">
        <x:v>不等同客户正式验收</x:v>
      </x:c>
      <x:c r="K97" s="20" t="str">
        <x:v>Not Started 未学</x:v>
      </x:c>
      <x:c r="L97" s="23"/>
      <x:c r="M97" s="23"/>
      <x:c r="N97" s="20"/>
      <x:c r="O97" s="20" t="n">
        <x:v>0</x:v>
      </x:c>
      <x:c r="P97" s="20" t="n">
        <x:v>0</x:v>
      </x:c>
      <x:c r="Q97" s="26" t="str">
        <x:f>IF(O97=0,"",P97/O97)</x:f>
      </x:c>
    </x:row>
    <x:row r="98">
      <x:c r="A98" s="20" t="str">
        <x:v>KP-097</x:v>
      </x:c>
      <x:c r="B98" s="20" t="str">
        <x:v>Process</x:v>
      </x:c>
      <x:c r="C98" s="20" t="str">
        <x:v>PR7</x:v>
      </x:c>
      <x:c r="D98" s="20" t="str">
        <x:v>05</x:v>
      </x:c>
      <x:c r="E98" s="20" t="str">
        <x:v>🟡 易错 Easy to Confuse</x:v>
      </x:c>
      <x:c r="F98" s="20" t="str">
        <x:v>All</x:v>
      </x:c>
      <x:c r="G98" s="29" t="str">
        <x:v>帕累托图</x:v>
      </x:c>
      <x:c r="H98" s="29" t="str">
        <x:v>Pareto Chart</x:v>
      </x:c>
      <x:c r="I98" s="29" t="str">
        <x:v>按频率排序识别少数关键原因</x:v>
      </x:c>
      <x:c r="J98" s="29" t="str">
        <x:v>相关不等于因果</x:v>
      </x:c>
      <x:c r="K98" s="20" t="str">
        <x:v>Not Started 未学</x:v>
      </x:c>
      <x:c r="L98" s="23"/>
      <x:c r="M98" s="23"/>
      <x:c r="N98" s="20"/>
      <x:c r="O98" s="20" t="n">
        <x:v>0</x:v>
      </x:c>
      <x:c r="P98" s="20" t="n">
        <x:v>0</x:v>
      </x:c>
      <x:c r="Q98" s="26" t="str">
        <x:f>IF(O98=0,"",P98/O98)</x:f>
      </x:c>
    </x:row>
    <x:row r="99">
      <x:c r="A99" s="20" t="str">
        <x:v>KP-098</x:v>
      </x:c>
      <x:c r="B99" s="20" t="str">
        <x:v>Process</x:v>
      </x:c>
      <x:c r="C99" s="20" t="str">
        <x:v>PR7</x:v>
      </x:c>
      <x:c r="D99" s="20" t="str">
        <x:v>05</x:v>
      </x:c>
      <x:c r="E99" s="20" t="str">
        <x:v>🟠 高频 High Frequency</x:v>
      </x:c>
      <x:c r="F99" s="20" t="str">
        <x:v>All</x:v>
      </x:c>
      <x:c r="G99" s="29" t="str">
        <x:v>因果图</x:v>
      </x:c>
      <x:c r="H99" s="29" t="str">
        <x:v>Cause-and-Effect / Ishikawa Diagram</x:v>
      </x:c>
      <x:c r="I99" s="29" t="str">
        <x:v>系统寻找潜在根因</x:v>
      </x:c>
      <x:c r="J99" s="29" t="str">
        <x:v>需数据验证假设</x:v>
      </x:c>
      <x:c r="K99" s="20" t="str">
        <x:v>Not Started 未学</x:v>
      </x:c>
      <x:c r="L99" s="23"/>
      <x:c r="M99" s="23"/>
      <x:c r="N99" s="20"/>
      <x:c r="O99" s="20" t="n">
        <x:v>0</x:v>
      </x:c>
      <x:c r="P99" s="20" t="n">
        <x:v>0</x:v>
      </x:c>
      <x:c r="Q99" s="26" t="str">
        <x:f>IF(O99=0,"",P99/O99)</x:f>
      </x:c>
    </x:row>
    <x:row r="100">
      <x:c r="A100" s="20" t="str">
        <x:v>KP-099</x:v>
      </x:c>
      <x:c r="B100" s="20" t="str">
        <x:v>Process</x:v>
      </x:c>
      <x:c r="C100" s="20" t="str">
        <x:v>PR7</x:v>
      </x:c>
      <x:c r="D100" s="20" t="str">
        <x:v>05</x:v>
      </x:c>
      <x:c r="E100" s="20" t="str">
        <x:v>🟡 易错 Easy to Confuse</x:v>
      </x:c>
      <x:c r="F100" s="20" t="str">
        <x:v>All</x:v>
      </x:c>
      <x:c r="G100" s="29" t="str">
        <x:v>控制图</x:v>
      </x:c>
      <x:c r="H100" s="29" t="str">
        <x:v>Control Chart</x:v>
      </x:c>
      <x:c r="I100" s="29" t="str">
        <x:v>监测过程稳定性、控制界限和非随机模式</x:v>
      </x:c>
      <x:c r="J100" s="29" t="str">
        <x:v>控制界限不是规格界限</x:v>
      </x:c>
      <x:c r="K100" s="20" t="str">
        <x:v>Not Started 未学</x:v>
      </x:c>
      <x:c r="L100" s="23"/>
      <x:c r="M100" s="23"/>
      <x:c r="N100" s="20"/>
      <x:c r="O100" s="20" t="n">
        <x:v>0</x:v>
      </x:c>
      <x:c r="P100" s="20" t="n">
        <x:v>0</x:v>
      </x:c>
      <x:c r="Q100" s="26" t="str">
        <x:f>IF(O100=0,"",P100/O100)</x:f>
      </x:c>
    </x:row>
    <x:row r="101">
      <x:c r="A101" s="20" t="str">
        <x:v>KP-100</x:v>
      </x:c>
      <x:c r="B101" s="20" t="str">
        <x:v>Process</x:v>
      </x:c>
      <x:c r="C101" s="20" t="str">
        <x:v>PR7</x:v>
      </x:c>
      <x:c r="D101" s="20" t="str">
        <x:v>05</x:v>
      </x:c>
      <x:c r="E101" s="20" t="str">
        <x:v>🟠 高频 High Frequency</x:v>
      </x:c>
      <x:c r="F101" s="20" t="str">
        <x:v>All</x:v>
      </x:c>
      <x:c r="G101" s="29" t="str">
        <x:v>持续改进</x:v>
      </x:c>
      <x:c r="H101" s="29" t="str">
        <x:v>Continuous Improvement</x:v>
      </x:c>
      <x:c r="I101" s="29" t="str">
        <x:v>通过反馈和小步实验改善过程与结果</x:v>
      </x:c>
      <x:c r="J101" s="29" t="str">
        <x:v>不只在项目失败时做</x:v>
      </x:c>
      <x:c r="K101" s="20" t="str">
        <x:v>Not Started 未学</x:v>
      </x:c>
      <x:c r="L101" s="23"/>
      <x:c r="M101" s="23"/>
      <x:c r="N101" s="20"/>
      <x:c r="O101" s="20" t="n">
        <x:v>0</x:v>
      </x:c>
      <x:c r="P101" s="20" t="n">
        <x:v>0</x:v>
      </x:c>
      <x:c r="Q101" s="26" t="str">
        <x:f>IF(O101=0,"",P101/O101)</x:f>
      </x:c>
    </x:row>
    <x:row r="102">
      <x:c r="A102" s="20" t="str">
        <x:v>KP-101</x:v>
      </x:c>
      <x:c r="B102" s="20" t="str">
        <x:v>Process</x:v>
      </x:c>
      <x:c r="C102" s="20" t="str">
        <x:v>PR8</x:v>
      </x:c>
      <x:c r="D102" s="20" t="str">
        <x:v>04</x:v>
      </x:c>
      <x:c r="E102" s="20" t="str">
        <x:v>🟠 高频 High Frequency</x:v>
      </x:c>
      <x:c r="F102" s="20" t="str">
        <x:v>Predictive</x:v>
      </x:c>
      <x:c r="G102" s="29" t="str">
        <x:v>里程碑</x:v>
      </x:c>
      <x:c r="H102" s="29" t="str">
        <x:v>Milestone</x:v>
      </x:c>
      <x:c r="I102" s="29" t="str">
        <x:v>零工期的重要事件或检查点</x:v>
      </x:c>
      <x:c r="J102" s="29" t="str">
        <x:v>不消耗工期不代表不重要</x:v>
      </x:c>
      <x:c r="K102" s="20" t="str">
        <x:v>Not Started 未学</x:v>
      </x:c>
      <x:c r="L102" s="23"/>
      <x:c r="M102" s="23"/>
      <x:c r="N102" s="20"/>
      <x:c r="O102" s="20" t="n">
        <x:v>0</x:v>
      </x:c>
      <x:c r="P102" s="20" t="n">
        <x:v>0</x:v>
      </x:c>
      <x:c r="Q102" s="26" t="str">
        <x:f>IF(O102=0,"",P102/O102)</x:f>
      </x:c>
    </x:row>
    <x:row r="103">
      <x:c r="A103" s="20" t="str">
        <x:v>KP-102</x:v>
      </x:c>
      <x:c r="B103" s="20" t="str">
        <x:v>Process</x:v>
      </x:c>
      <x:c r="C103" s="20" t="str">
        <x:v>PR8</x:v>
      </x:c>
      <x:c r="D103" s="20" t="str">
        <x:v>04</x:v>
      </x:c>
      <x:c r="E103" s="20" t="str">
        <x:v>🟠 高频 High Frequency</x:v>
      </x:c>
      <x:c r="F103" s="20" t="str">
        <x:v>Predictive</x:v>
      </x:c>
      <x:c r="G103" s="29" t="str">
        <x:v>依赖关系</x:v>
      </x:c>
      <x:c r="H103" s="29" t="str">
        <x:v>Dependency</x:v>
      </x:c>
      <x:c r="I103" s="29" t="str">
        <x:v>识别强制、选择、外部、内部等依赖</x:v>
      </x:c>
      <x:c r="J103" s="29" t="str">
        <x:v>不要把所有依赖都当强制</x:v>
      </x:c>
      <x:c r="K103" s="20" t="str">
        <x:v>Not Started 未学</x:v>
      </x:c>
      <x:c r="L103" s="23"/>
      <x:c r="M103" s="23"/>
      <x:c r="N103" s="20"/>
      <x:c r="O103" s="20" t="n">
        <x:v>0</x:v>
      </x:c>
      <x:c r="P103" s="20" t="n">
        <x:v>0</x:v>
      </x:c>
      <x:c r="Q103" s="26" t="str">
        <x:f>IF(O103=0,"",P103/O103)</x:f>
      </x:c>
    </x:row>
    <x:row r="104">
      <x:c r="A104" s="20" t="str">
        <x:v>KP-103</x:v>
      </x:c>
      <x:c r="B104" s="20" t="str">
        <x:v>Process</x:v>
      </x:c>
      <x:c r="C104" s="20" t="str">
        <x:v>PR8</x:v>
      </x:c>
      <x:c r="D104" s="20" t="str">
        <x:v>04</x:v>
      </x:c>
      <x:c r="E104" s="20" t="str">
        <x:v>🟠 高频 High Frequency</x:v>
      </x:c>
      <x:c r="F104" s="20" t="str">
        <x:v>Predictive</x:v>
      </x:c>
      <x:c r="G104" s="29" t="str">
        <x:v>完成到开始</x:v>
      </x:c>
      <x:c r="H104" s="29" t="str">
        <x:v>Finish-to-Start (FS)</x:v>
      </x:c>
      <x:c r="I104" s="29" t="str">
        <x:v>前置完成后后续才能开始</x:v>
      </x:c>
      <x:c r="J104" s="29" t="str">
        <x:v>最常见但不是唯一关系</x:v>
      </x:c>
      <x:c r="K104" s="20" t="str">
        <x:v>Not Started 未学</x:v>
      </x:c>
      <x:c r="L104" s="23"/>
      <x:c r="M104" s="23"/>
      <x:c r="N104" s="20"/>
      <x:c r="O104" s="20" t="n">
        <x:v>0</x:v>
      </x:c>
      <x:c r="P104" s="20" t="n">
        <x:v>0</x:v>
      </x:c>
      <x:c r="Q104" s="26" t="str">
        <x:f>IF(O104=0,"",P104/O104)</x:f>
      </x:c>
    </x:row>
    <x:row r="105">
      <x:c r="A105" s="20" t="str">
        <x:v>KP-104</x:v>
      </x:c>
      <x:c r="B105" s="20" t="str">
        <x:v>Process</x:v>
      </x:c>
      <x:c r="C105" s="20" t="str">
        <x:v>PR8</x:v>
      </x:c>
      <x:c r="D105" s="20" t="str">
        <x:v>04</x:v>
      </x:c>
      <x:c r="E105" s="20" t="str">
        <x:v>🔴 必考 Must Know</x:v>
      </x:c>
      <x:c r="F105" s="20" t="str">
        <x:v>Predictive</x:v>
      </x:c>
      <x:c r="G105" s="29" t="str">
        <x:v>关键路径</x:v>
      </x:c>
      <x:c r="H105" s="29" t="str">
        <x:v>Critical Path</x:v>
      </x:c>
      <x:c r="I105" s="29" t="str">
        <x:v>决定项目最短工期的最长路径</x:v>
      </x:c>
      <x:c r="J105" s="29" t="str">
        <x:v>不是单项工期最长的活动</x:v>
      </x:c>
      <x:c r="K105" s="20" t="str">
        <x:v>Not Started 未学</x:v>
      </x:c>
      <x:c r="L105" s="23"/>
      <x:c r="M105" s="23"/>
      <x:c r="N105" s="20"/>
      <x:c r="O105" s="20" t="n">
        <x:v>0</x:v>
      </x:c>
      <x:c r="P105" s="20" t="n">
        <x:v>0</x:v>
      </x:c>
      <x:c r="Q105" s="26" t="str">
        <x:f>IF(O105=0,"",P105/O105)</x:f>
      </x:c>
    </x:row>
    <x:row r="106">
      <x:c r="A106" s="20" t="str">
        <x:v>KP-105</x:v>
      </x:c>
      <x:c r="B106" s="20" t="str">
        <x:v>Process</x:v>
      </x:c>
      <x:c r="C106" s="20" t="str">
        <x:v>PR8</x:v>
      </x:c>
      <x:c r="D106" s="20" t="str">
        <x:v>04</x:v>
      </x:c>
      <x:c r="E106" s="20" t="str">
        <x:v>🟡 易错 Easy to Confuse</x:v>
      </x:c>
      <x:c r="F106" s="20" t="str">
        <x:v>Predictive</x:v>
      </x:c>
      <x:c r="G106" s="29" t="str">
        <x:v>总浮动时间</x:v>
      </x:c>
      <x:c r="H106" s="29" t="str">
        <x:v>Total Float</x:v>
      </x:c>
      <x:c r="I106" s="29" t="str">
        <x:v>TF=LS-ES=LF-EF</x:v>
      </x:c>
      <x:c r="J106" s="29" t="str">
        <x:v>关键路径浮动通常最小但可因约束为负</x:v>
      </x:c>
      <x:c r="K106" s="20" t="str">
        <x:v>Not Started 未学</x:v>
      </x:c>
      <x:c r="L106" s="23"/>
      <x:c r="M106" s="23"/>
      <x:c r="N106" s="20"/>
      <x:c r="O106" s="20" t="n">
        <x:v>0</x:v>
      </x:c>
      <x:c r="P106" s="20" t="n">
        <x:v>0</x:v>
      </x:c>
      <x:c r="Q106" s="26" t="str">
        <x:f>IF(O106=0,"",P106/O106)</x:f>
      </x:c>
    </x:row>
    <x:row r="107">
      <x:c r="A107" s="20" t="str">
        <x:v>KP-106</x:v>
      </x:c>
      <x:c r="B107" s="20" t="str">
        <x:v>Process</x:v>
      </x:c>
      <x:c r="C107" s="20" t="str">
        <x:v>PR8</x:v>
      </x:c>
      <x:c r="D107" s="20" t="str">
        <x:v>04</x:v>
      </x:c>
      <x:c r="E107" s="20" t="str">
        <x:v>🔴 必考 Must Know</x:v>
      </x:c>
      <x:c r="F107" s="20" t="str">
        <x:v>Predictive</x:v>
      </x:c>
      <x:c r="G107" s="29" t="str">
        <x:v>赶工</x:v>
      </x:c>
      <x:c r="H107" s="29" t="str">
        <x:v>Crashing</x:v>
      </x:c>
      <x:c r="I107" s="29" t="str">
        <x:v>增加成本/资源缩短关键路径活动</x:v>
      </x:c>
      <x:c r="J107" s="29" t="str">
        <x:v>只对关键路径且边际成本可接受</x:v>
      </x:c>
      <x:c r="K107" s="20" t="str">
        <x:v>Not Started 未学</x:v>
      </x:c>
      <x:c r="L107" s="23"/>
      <x:c r="M107" s="23"/>
      <x:c r="N107" s="20"/>
      <x:c r="O107" s="20" t="n">
        <x:v>0</x:v>
      </x:c>
      <x:c r="P107" s="20" t="n">
        <x:v>0</x:v>
      </x:c>
      <x:c r="Q107" s="26" t="str">
        <x:f>IF(O107=0,"",P107/O107)</x:f>
      </x:c>
    </x:row>
    <x:row r="108">
      <x:c r="A108" s="20" t="str">
        <x:v>KP-107</x:v>
      </x:c>
      <x:c r="B108" s="20" t="str">
        <x:v>Process</x:v>
      </x:c>
      <x:c r="C108" s="20" t="str">
        <x:v>PR8</x:v>
      </x:c>
      <x:c r="D108" s="20" t="str">
        <x:v>04</x:v>
      </x:c>
      <x:c r="E108" s="20" t="str">
        <x:v>🔴 必考 Must Know</x:v>
      </x:c>
      <x:c r="F108" s="20" t="str">
        <x:v>Predictive</x:v>
      </x:c>
      <x:c r="G108" s="29" t="str">
        <x:v>快速跟进</x:v>
      </x:c>
      <x:c r="H108" s="29" t="str">
        <x:v>Fast Tracking</x:v>
      </x:c>
      <x:c r="I108" s="29" t="str">
        <x:v>重叠原本顺序工作以缩短工期</x:v>
      </x:c>
      <x:c r="J108" s="29" t="str">
        <x:v>增加风险和返工</x:v>
      </x:c>
      <x:c r="K108" s="20" t="str">
        <x:v>Not Started 未学</x:v>
      </x:c>
      <x:c r="L108" s="23"/>
      <x:c r="M108" s="23"/>
      <x:c r="N108" s="20"/>
      <x:c r="O108" s="20" t="n">
        <x:v>0</x:v>
      </x:c>
      <x:c r="P108" s="20" t="n">
        <x:v>0</x:v>
      </x:c>
      <x:c r="Q108" s="26" t="str">
        <x:f>IF(O108=0,"",P108/O108)</x:f>
      </x:c>
    </x:row>
    <x:row r="109">
      <x:c r="A109" s="20" t="str">
        <x:v>KP-108</x:v>
      </x:c>
      <x:c r="B109" s="20" t="str">
        <x:v>Process</x:v>
      </x:c>
      <x:c r="C109" s="20" t="str">
        <x:v>PR8</x:v>
      </x:c>
      <x:c r="D109" s="20" t="str">
        <x:v>04</x:v>
      </x:c>
      <x:c r="E109" s="20" t="str">
        <x:v>🟠 高频 High Frequency</x:v>
      </x:c>
      <x:c r="F109" s="20" t="str">
        <x:v>Predictive</x:v>
      </x:c>
      <x:c r="G109" s="29" t="str">
        <x:v>类比估算</x:v>
      </x:c>
      <x:c r="H109" s="29" t="str">
        <x:v>Analogous Estimating</x:v>
      </x:c>
      <x:c r="I109" s="29" t="str">
        <x:v>用历史相似项目快速高层估算</x:v>
      </x:c>
      <x:c r="J109" s="29" t="str">
        <x:v>快但精度通常较低</x:v>
      </x:c>
      <x:c r="K109" s="20" t="str">
        <x:v>Not Started 未学</x:v>
      </x:c>
      <x:c r="L109" s="23"/>
      <x:c r="M109" s="23"/>
      <x:c r="N109" s="20"/>
      <x:c r="O109" s="20" t="n">
        <x:v>0</x:v>
      </x:c>
      <x:c r="P109" s="20" t="n">
        <x:v>0</x:v>
      </x:c>
      <x:c r="Q109" s="26" t="str">
        <x:f>IF(O109=0,"",P109/O109)</x:f>
      </x:c>
    </x:row>
    <x:row r="110">
      <x:c r="A110" s="20" t="str">
        <x:v>KP-109</x:v>
      </x:c>
      <x:c r="B110" s="20" t="str">
        <x:v>Process</x:v>
      </x:c>
      <x:c r="C110" s="20" t="str">
        <x:v>PR8</x:v>
      </x:c>
      <x:c r="D110" s="20" t="str">
        <x:v>04</x:v>
      </x:c>
      <x:c r="E110" s="20" t="str">
        <x:v>🟠 高频 High Frequency</x:v>
      </x:c>
      <x:c r="F110" s="20" t="str">
        <x:v>Predictive</x:v>
      </x:c>
      <x:c r="G110" s="29" t="str">
        <x:v>参数估算</x:v>
      </x:c>
      <x:c r="H110" s="29" t="str">
        <x:v>Parametric Estimating</x:v>
      </x:c>
      <x:c r="I110" s="29" t="str">
        <x:v>用统计关系和单位率估算</x:v>
      </x:c>
      <x:c r="J110" s="29" t="str">
        <x:v>模型质量决定结果</x:v>
      </x:c>
      <x:c r="K110" s="20" t="str">
        <x:v>Not Started 未学</x:v>
      </x:c>
      <x:c r="L110" s="23"/>
      <x:c r="M110" s="23"/>
      <x:c r="N110" s="20"/>
      <x:c r="O110" s="20" t="n">
        <x:v>0</x:v>
      </x:c>
      <x:c r="P110" s="20" t="n">
        <x:v>0</x:v>
      </x:c>
      <x:c r="Q110" s="26" t="str">
        <x:f>IF(O110=0,"",P110/O110)</x:f>
      </x:c>
    </x:row>
    <x:row r="111">
      <x:c r="A111" s="20" t="str">
        <x:v>KP-110</x:v>
      </x:c>
      <x:c r="B111" s="20" t="str">
        <x:v>Process</x:v>
      </x:c>
      <x:c r="C111" s="20" t="str">
        <x:v>PR8</x:v>
      </x:c>
      <x:c r="D111" s="20" t="str">
        <x:v>04</x:v>
      </x:c>
      <x:c r="E111" s="20" t="str">
        <x:v>🟠 高频 High Frequency</x:v>
      </x:c>
      <x:c r="F111" s="20" t="str">
        <x:v>Predictive</x:v>
      </x:c>
      <x:c r="G111" s="29" t="str">
        <x:v>自下而上估算</x:v>
      </x:c>
      <x:c r="H111" s="29" t="str">
        <x:v>Bottom-up Estimating</x:v>
      </x:c>
      <x:c r="I111" s="29" t="str">
        <x:v>从详细组件汇总，通常更耗时</x:v>
      </x:c>
      <x:c r="J111" s="29" t="str">
        <x:v>前提是分解充分</x:v>
      </x:c>
      <x:c r="K111" s="20" t="str">
        <x:v>Not Started 未学</x:v>
      </x:c>
      <x:c r="L111" s="23"/>
      <x:c r="M111" s="23"/>
      <x:c r="N111" s="20"/>
      <x:c r="O111" s="20" t="n">
        <x:v>0</x:v>
      </x:c>
      <x:c r="P111" s="20" t="n">
        <x:v>0</x:v>
      </x:c>
      <x:c r="Q111" s="26" t="str">
        <x:f>IF(O111=0,"",P111/O111)</x:f>
      </x:c>
    </x:row>
    <x:row r="112">
      <x:c r="A112" s="20" t="str">
        <x:v>KP-111</x:v>
      </x:c>
      <x:c r="B112" s="20" t="str">
        <x:v>Process</x:v>
      </x:c>
      <x:c r="C112" s="20" t="str">
        <x:v>PR8</x:v>
      </x:c>
      <x:c r="D112" s="20" t="str">
        <x:v>04</x:v>
      </x:c>
      <x:c r="E112" s="20" t="str">
        <x:v>🟠 高频 High Frequency</x:v>
      </x:c>
      <x:c r="F112" s="20" t="str">
        <x:v>Predictive</x:v>
      </x:c>
      <x:c r="G112" s="29" t="str">
        <x:v>三点估算</x:v>
      </x:c>
      <x:c r="H112" s="29" t="str">
        <x:v>Three-point Estimating</x:v>
      </x:c>
      <x:c r="I112" s="29" t="str">
        <x:v>用乐观、最可能、悲观反映不确定性</x:v>
      </x:c>
      <x:c r="J112" s="29" t="str">
        <x:v>PERT 加权公式需分清</x:v>
      </x:c>
      <x:c r="K112" s="20" t="str">
        <x:v>Not Started 未学</x:v>
      </x:c>
      <x:c r="L112" s="23"/>
      <x:c r="M112" s="23"/>
      <x:c r="N112" s="20"/>
      <x:c r="O112" s="20" t="n">
        <x:v>0</x:v>
      </x:c>
      <x:c r="P112" s="20" t="n">
        <x:v>0</x:v>
      </x:c>
      <x:c r="Q112" s="26" t="str">
        <x:f>IF(O112=0,"",P112/O112)</x:f>
      </x:c>
    </x:row>
    <x:row r="113">
      <x:c r="A113" s="20" t="str">
        <x:v>KP-112</x:v>
      </x:c>
      <x:c r="B113" s="20" t="str">
        <x:v>Process</x:v>
      </x:c>
      <x:c r="C113" s="20" t="str">
        <x:v>PR9</x:v>
      </x:c>
      <x:c r="D113" s="20" t="str">
        <x:v>04</x:v>
      </x:c>
      <x:c r="E113" s="20" t="str">
        <x:v>🟠 高频 High Frequency</x:v>
      </x:c>
      <x:c r="F113" s="20" t="str">
        <x:v>All</x:v>
      </x:c>
      <x:c r="G113" s="29" t="str">
        <x:v>状态日</x:v>
      </x:c>
      <x:c r="H113" s="29" t="str">
        <x:v>Data Date / Status Date</x:v>
      </x:c>
      <x:c r="I113" s="29" t="str">
        <x:v>报告和绩效测量的时间截点</x:v>
      </x:c>
      <x:c r="J113" s="29" t="str">
        <x:v>不能把状态日后的完成算入</x:v>
      </x:c>
      <x:c r="K113" s="20" t="str">
        <x:v>Not Started 未学</x:v>
      </x:c>
      <x:c r="L113" s="23"/>
      <x:c r="M113" s="23"/>
      <x:c r="N113" s="20"/>
      <x:c r="O113" s="20" t="n">
        <x:v>0</x:v>
      </x:c>
      <x:c r="P113" s="20" t="n">
        <x:v>0</x:v>
      </x:c>
      <x:c r="Q113" s="26" t="str">
        <x:f>IF(O113=0,"",P113/O113)</x:f>
      </x:c>
    </x:row>
    <x:row r="114">
      <x:c r="A114" s="20" t="str">
        <x:v>KP-113</x:v>
      </x:c>
      <x:c r="B114" s="20" t="str">
        <x:v>Process</x:v>
      </x:c>
      <x:c r="C114" s="20" t="str">
        <x:v>PR9</x:v>
      </x:c>
      <x:c r="D114" s="20" t="str">
        <x:v>04</x:v>
      </x:c>
      <x:c r="E114" s="20" t="str">
        <x:v>🟠 高频 High Frequency</x:v>
      </x:c>
      <x:c r="F114" s="20" t="str">
        <x:v>All</x:v>
      </x:c>
      <x:c r="G114" s="29" t="str">
        <x:v>项目指标</x:v>
      </x:c>
      <x:c r="H114" s="29" t="str">
        <x:v>Project Metrics</x:v>
      </x:c>
      <x:c r="I114" s="29" t="str">
        <x:v>选择能支持决策和价值验证的指标</x:v>
      </x:c>
      <x:c r="J114" s="29" t="str">
        <x:v>虚荣指标可能误导</x:v>
      </x:c>
      <x:c r="K114" s="20" t="str">
        <x:v>Not Started 未学</x:v>
      </x:c>
      <x:c r="L114" s="23"/>
      <x:c r="M114" s="23"/>
      <x:c r="N114" s="20"/>
      <x:c r="O114" s="20" t="n">
        <x:v>0</x:v>
      </x:c>
      <x:c r="P114" s="20" t="n">
        <x:v>0</x:v>
      </x:c>
      <x:c r="Q114" s="26" t="str">
        <x:f>IF(O114=0,"",P114/O114)</x:f>
      </x:c>
    </x:row>
    <x:row r="115">
      <x:c r="A115" s="20" t="str">
        <x:v>KP-114</x:v>
      </x:c>
      <x:c r="B115" s="20" t="str">
        <x:v>Process</x:v>
      </x:c>
      <x:c r="C115" s="20" t="str">
        <x:v>PR9</x:v>
      </x:c>
      <x:c r="D115" s="20" t="str">
        <x:v>04</x:v>
      </x:c>
      <x:c r="E115" s="20" t="str">
        <x:v>🟠 高频 High Frequency</x:v>
      </x:c>
      <x:c r="F115" s="20" t="str">
        <x:v>All</x:v>
      </x:c>
      <x:c r="G115" s="29" t="str">
        <x:v>工件管理</x:v>
      </x:c>
      <x:c r="H115" s="29" t="str">
        <x:v>Artifact Management</x:v>
      </x:c>
      <x:c r="I115" s="29" t="str">
        <x:v>按需要创建、维护、访问和审查工件</x:v>
      </x:c>
      <x:c r="J115" s="29" t="str">
        <x:v>工件多不代表管理好</x:v>
      </x:c>
      <x:c r="K115" s="20" t="str">
        <x:v>Not Started 未学</x:v>
      </x:c>
      <x:c r="L115" s="23"/>
      <x:c r="M115" s="23"/>
      <x:c r="N115" s="20"/>
      <x:c r="O115" s="20" t="n">
        <x:v>0</x:v>
      </x:c>
      <x:c r="P115" s="20" t="n">
        <x:v>0</x:v>
      </x:c>
      <x:c r="Q115" s="26" t="str">
        <x:f>IF(O115=0,"",P115/O115)</x:f>
      </x:c>
    </x:row>
    <x:row r="116">
      <x:c r="A116" s="20" t="str">
        <x:v>KP-115</x:v>
      </x:c>
      <x:c r="B116" s="20" t="str">
        <x:v>Process</x:v>
      </x:c>
      <x:c r="C116" s="20" t="str">
        <x:v>PR9</x:v>
      </x:c>
      <x:c r="D116" s="20" t="str">
        <x:v>04</x:v>
      </x:c>
      <x:c r="E116" s="20" t="str">
        <x:v>🟡 易错 Easy to Confuse</x:v>
      </x:c>
      <x:c r="F116" s="20" t="str">
        <x:v>All</x:v>
      </x:c>
      <x:c r="G116" s="29" t="str">
        <x:v>燃尽图</x:v>
      </x:c>
      <x:c r="H116" s="29" t="str">
        <x:v>Burndown Chart</x:v>
      </x:c>
      <x:c r="I116" s="29" t="str">
        <x:v>显示剩余工作随时间变化</x:v>
      </x:c>
      <x:c r="J116" s="29" t="str">
        <x:v>范围变化会影响解读</x:v>
      </x:c>
      <x:c r="K116" s="20" t="str">
        <x:v>Not Started 未学</x:v>
      </x:c>
      <x:c r="L116" s="23"/>
      <x:c r="M116" s="23"/>
      <x:c r="N116" s="20"/>
      <x:c r="O116" s="20" t="n">
        <x:v>0</x:v>
      </x:c>
      <x:c r="P116" s="20" t="n">
        <x:v>0</x:v>
      </x:c>
      <x:c r="Q116" s="26" t="str">
        <x:f>IF(O116=0,"",P116/O116)</x:f>
      </x:c>
    </x:row>
    <x:row r="117">
      <x:c r="A117" s="20" t="str">
        <x:v>KP-116</x:v>
      </x:c>
      <x:c r="B117" s="20" t="str">
        <x:v>Process</x:v>
      </x:c>
      <x:c r="C117" s="20" t="str">
        <x:v>PR9</x:v>
      </x:c>
      <x:c r="D117" s="20" t="str">
        <x:v>04</x:v>
      </x:c>
      <x:c r="E117" s="20" t="str">
        <x:v>🟡 易错 Easy to Confuse</x:v>
      </x:c>
      <x:c r="F117" s="20" t="str">
        <x:v>All</x:v>
      </x:c>
      <x:c r="G117" s="29" t="str">
        <x:v>燃起图</x:v>
      </x:c>
      <x:c r="H117" s="29" t="str">
        <x:v>Burnup Chart</x:v>
      </x:c>
      <x:c r="I117" s="29" t="str">
        <x:v>显示已完成工作并可显示总范围</x:v>
      </x:c>
      <x:c r="J117" s="29" t="str">
        <x:v>与燃尽图方向相反</x:v>
      </x:c>
      <x:c r="K117" s="20" t="str">
        <x:v>Not Started 未学</x:v>
      </x:c>
      <x:c r="L117" s="23"/>
      <x:c r="M117" s="23"/>
      <x:c r="N117" s="20"/>
      <x:c r="O117" s="20" t="n">
        <x:v>0</x:v>
      </x:c>
      <x:c r="P117" s="20" t="n">
        <x:v>0</x:v>
      </x:c>
      <x:c r="Q117" s="26" t="str">
        <x:f>IF(O117=0,"",P117/O117)</x:f>
      </x:c>
    </x:row>
    <x:row r="118">
      <x:c r="A118" s="20" t="str">
        <x:v>KP-117</x:v>
      </x:c>
      <x:c r="B118" s="20" t="str">
        <x:v>Process</x:v>
      </x:c>
      <x:c r="C118" s="20" t="str">
        <x:v>PR9</x:v>
      </x:c>
      <x:c r="D118" s="20" t="str">
        <x:v>04</x:v>
      </x:c>
      <x:c r="E118" s="20" t="str">
        <x:v>🟡 易错 Easy to Confuse</x:v>
      </x:c>
      <x:c r="F118" s="20" t="str">
        <x:v>All</x:v>
      </x:c>
      <x:c r="G118" s="29" t="str">
        <x:v>速度</x:v>
      </x:c>
      <x:c r="H118" s="29" t="str">
        <x:v>Velocity</x:v>
      </x:c>
      <x:c r="I118" s="29" t="str">
        <x:v>团队每迭代完成的相对工作量，用于自身预测</x:v>
      </x:c>
      <x:c r="J118" s="29" t="str">
        <x:v>不可跨团队比较绩效</x:v>
      </x:c>
      <x:c r="K118" s="20" t="str">
        <x:v>Not Started 未学</x:v>
      </x:c>
      <x:c r="L118" s="23"/>
      <x:c r="M118" s="23"/>
      <x:c r="N118" s="20"/>
      <x:c r="O118" s="20" t="n">
        <x:v>0</x:v>
      </x:c>
      <x:c r="P118" s="20" t="n">
        <x:v>0</x:v>
      </x:c>
      <x:c r="Q118" s="26" t="str">
        <x:f>IF(O118=0,"",P118/O118)</x:f>
      </x:c>
    </x:row>
    <x:row r="119">
      <x:c r="A119" s="20" t="str">
        <x:v>KP-118</x:v>
      </x:c>
      <x:c r="B119" s="20" t="str">
        <x:v>Process</x:v>
      </x:c>
      <x:c r="C119" s="20" t="str">
        <x:v>PR10</x:v>
      </x:c>
      <x:c r="D119" s="20" t="str">
        <x:v>12</x:v>
      </x:c>
      <x:c r="E119" s="20" t="str">
        <x:v>🔴 必考 Must Know</x:v>
      </x:c>
      <x:c r="F119" s="20" t="str">
        <x:v>All</x:v>
      </x:c>
      <x:c r="G119" s="29" t="str">
        <x:v>正式验收</x:v>
      </x:c>
      <x:c r="H119" s="29" t="str">
        <x:v>Formal Acceptance</x:v>
      </x:c>
      <x:c r="I119" s="29" t="str">
        <x:v>取得授权干系人的完成批准</x:v>
      </x:c>
      <x:c r="J119" s="29" t="str">
        <x:v>口头满意不一定满足治理</x:v>
      </x:c>
      <x:c r="K119" s="20" t="str">
        <x:v>Not Started 未学</x:v>
      </x:c>
      <x:c r="L119" s="23"/>
      <x:c r="M119" s="23"/>
      <x:c r="N119" s="20"/>
      <x:c r="O119" s="20" t="n">
        <x:v>0</x:v>
      </x:c>
      <x:c r="P119" s="20" t="n">
        <x:v>0</x:v>
      </x:c>
      <x:c r="Q119" s="26" t="str">
        <x:f>IF(O119=0,"",P119/O119)</x:f>
      </x:c>
    </x:row>
    <x:row r="120">
      <x:c r="A120" s="20" t="str">
        <x:v>KP-119</x:v>
      </x:c>
      <x:c r="B120" s="20" t="str">
        <x:v>Process</x:v>
      </x:c>
      <x:c r="C120" s="20" t="str">
        <x:v>PR10</x:v>
      </x:c>
      <x:c r="D120" s="20" t="str">
        <x:v>12</x:v>
      </x:c>
      <x:c r="E120" s="20" t="str">
        <x:v>🔴 必考 Must Know</x:v>
      </x:c>
      <x:c r="F120" s="20" t="str">
        <x:v>All</x:v>
      </x:c>
      <x:c r="G120" s="29" t="str">
        <x:v>移交准备度</x:v>
      </x:c>
      <x:c r="H120" s="29" t="str">
        <x:v>Transition Readiness</x:v>
      </x:c>
      <x:c r="I120" s="29" t="str">
        <x:v>验证运营、培训、支持、数据和责任均可承接</x:v>
      </x:c>
      <x:c r="J120" s="29" t="str">
        <x:v>上线不等于可运营</x:v>
      </x:c>
      <x:c r="K120" s="20" t="str">
        <x:v>Not Started 未学</x:v>
      </x:c>
      <x:c r="L120" s="23"/>
      <x:c r="M120" s="23"/>
      <x:c r="N120" s="20"/>
      <x:c r="O120" s="20" t="n">
        <x:v>0</x:v>
      </x:c>
      <x:c r="P120" s="20" t="n">
        <x:v>0</x:v>
      </x:c>
      <x:c r="Q120" s="26" t="str">
        <x:f>IF(O120=0,"",P120/O120)</x:f>
      </x:c>
    </x:row>
    <x:row r="121">
      <x:c r="A121" s="20" t="str">
        <x:v>KP-120</x:v>
      </x:c>
      <x:c r="B121" s="20" t="str">
        <x:v>Process</x:v>
      </x:c>
      <x:c r="C121" s="20" t="str">
        <x:v>PR10</x:v>
      </x:c>
      <x:c r="D121" s="20" t="str">
        <x:v>12</x:v>
      </x:c>
      <x:c r="E121" s="20" t="str">
        <x:v>🟠 高频 High Frequency</x:v>
      </x:c>
      <x:c r="F121" s="20" t="str">
        <x:v>All</x:v>
      </x:c>
      <x:c r="G121" s="29" t="str">
        <x:v>行政收尾</x:v>
      </x:c>
      <x:c r="H121" s="29" t="str">
        <x:v>Administrative Closure</x:v>
      </x:c>
      <x:c r="I121" s="29" t="str">
        <x:v>归档、经验教训、资源释放、财务和采购收尾</x:v>
      </x:c>
      <x:c r="J121" s="29" t="str">
        <x:v>项目被取消也要收尾</x:v>
      </x:c>
      <x:c r="K121" s="20" t="str">
        <x:v>Not Started 未学</x:v>
      </x:c>
      <x:c r="L121" s="23"/>
      <x:c r="M121" s="23"/>
      <x:c r="N121" s="20"/>
      <x:c r="O121" s="20" t="n">
        <x:v>0</x:v>
      </x:c>
      <x:c r="P121" s="20" t="n">
        <x:v>0</x:v>
      </x:c>
      <x:c r="Q121" s="26" t="str">
        <x:f>IF(O121=0,"",P121/O121)</x:f>
      </x:c>
    </x:row>
    <x:row r="122">
      <x:c r="A122" s="20" t="str">
        <x:v>KP-121</x:v>
      </x:c>
      <x:c r="B122" s="20" t="str">
        <x:v>Business Environment</x:v>
      </x:c>
      <x:c r="C122" s="20" t="str">
        <x:v>BE1</x:v>
      </x:c>
      <x:c r="D122" s="20" t="str">
        <x:v>06</x:v>
      </x:c>
      <x:c r="E122" s="20" t="str">
        <x:v>🔴 必考 Must Know</x:v>
      </x:c>
      <x:c r="F122" s="20" t="str">
        <x:v>All</x:v>
      </x:c>
      <x:c r="G122" s="29" t="str">
        <x:v>项目治理</x:v>
      </x:c>
      <x:c r="H122" s="29" t="str">
        <x:v>Project Governance</x:v>
      </x:c>
      <x:c r="I122" s="29" t="str">
        <x:v>定义决策权、规则、监督、报告和责任边界</x:v>
      </x:c>
      <x:c r="J122" s="29" t="str">
        <x:v>治理不是项目经理日常管理的同义词</x:v>
      </x:c>
      <x:c r="K122" s="20" t="str">
        <x:v>Not Started 未学</x:v>
      </x:c>
      <x:c r="L122" s="23"/>
      <x:c r="M122" s="23"/>
      <x:c r="N122" s="20"/>
      <x:c r="O122" s="20" t="n">
        <x:v>0</x:v>
      </x:c>
      <x:c r="P122" s="20" t="n">
        <x:v>0</x:v>
      </x:c>
      <x:c r="Q122" s="26" t="str">
        <x:f>IF(O122=0,"",P122/O122)</x:f>
      </x:c>
    </x:row>
    <x:row r="123">
      <x:c r="A123" s="20" t="str">
        <x:v>KP-122</x:v>
      </x:c>
      <x:c r="B123" s="20" t="str">
        <x:v>Business Environment</x:v>
      </x:c>
      <x:c r="C123" s="20" t="str">
        <x:v>BE1</x:v>
      </x:c>
      <x:c r="D123" s="20" t="str">
        <x:v>06</x:v>
      </x:c>
      <x:c r="E123" s="20" t="str">
        <x:v>🟡 易错 Easy to Confuse</x:v>
      </x:c>
      <x:c r="F123" s="20" t="str">
        <x:v>All</x:v>
      </x:c>
      <x:c r="G123" s="29" t="str">
        <x:v>组织过程资产</x:v>
      </x:c>
      <x:c r="H123" s="29" t="str">
        <x:v>Organizational Process Assets (OPAs)</x:v>
      </x:c>
      <x:c r="I123" s="29" t="str">
        <x:v>组织内部可更新的过程、模板、知识库和政策</x:v>
      </x:c>
      <x:c r="J123" s="29" t="str">
        <x:v>与 EEF 易混</x:v>
      </x:c>
      <x:c r="K123" s="20" t="str">
        <x:v>Not Started 未学</x:v>
      </x:c>
      <x:c r="L123" s="23"/>
      <x:c r="M123" s="23"/>
      <x:c r="N123" s="20"/>
      <x:c r="O123" s="20" t="n">
        <x:v>0</x:v>
      </x:c>
      <x:c r="P123" s="20" t="n">
        <x:v>0</x:v>
      </x:c>
      <x:c r="Q123" s="26" t="str">
        <x:f>IF(O123=0,"",P123/O123)</x:f>
      </x:c>
    </x:row>
    <x:row r="124">
      <x:c r="A124" s="20" t="str">
        <x:v>KP-123</x:v>
      </x:c>
      <x:c r="B124" s="20" t="str">
        <x:v>Business Environment</x:v>
      </x:c>
      <x:c r="C124" s="20" t="str">
        <x:v>BE1</x:v>
      </x:c>
      <x:c r="D124" s="20" t="str">
        <x:v>06</x:v>
      </x:c>
      <x:c r="E124" s="20" t="str">
        <x:v>🟡 易错 Easy to Confuse</x:v>
      </x:c>
      <x:c r="F124" s="20" t="str">
        <x:v>All</x:v>
      </x:c>
      <x:c r="G124" s="29" t="str">
        <x:v>事业环境因素</x:v>
      </x:c>
      <x:c r="H124" s="29" t="str">
        <x:v>Enterprise Environmental Factors (EEFs)</x:v>
      </x:c>
      <x:c r="I124" s="29" t="str">
        <x:v>对项目有影响但团队通常无法直接控制的内外部条件</x:v>
      </x:c>
      <x:c r="J124" s="29" t="str">
        <x:v>不是所有外部因素都不可影响</x:v>
      </x:c>
      <x:c r="K124" s="20" t="str">
        <x:v>Not Started 未学</x:v>
      </x:c>
      <x:c r="L124" s="23"/>
      <x:c r="M124" s="23"/>
      <x:c r="N124" s="20"/>
      <x:c r="O124" s="20" t="n">
        <x:v>0</x:v>
      </x:c>
      <x:c r="P124" s="20" t="n">
        <x:v>0</x:v>
      </x:c>
      <x:c r="Q124" s="26" t="str">
        <x:f>IF(O124=0,"",P124/O124)</x:f>
      </x:c>
    </x:row>
    <x:row r="125">
      <x:c r="A125" s="20" t="str">
        <x:v>KP-124</x:v>
      </x:c>
      <x:c r="B125" s="20" t="str">
        <x:v>Business Environment</x:v>
      </x:c>
      <x:c r="C125" s="20" t="str">
        <x:v>BE1</x:v>
      </x:c>
      <x:c r="D125" s="20" t="str">
        <x:v>06</x:v>
      </x:c>
      <x:c r="E125" s="20" t="str">
        <x:v>🔴 必考 Must Know</x:v>
      </x:c>
      <x:c r="F125" s="20" t="str">
        <x:v>All</x:v>
      </x:c>
      <x:c r="G125" s="29" t="str">
        <x:v>成功指标</x:v>
      </x:c>
      <x:c r="H125" s="29" t="str">
        <x:v>Success Metrics</x:v>
      </x:c>
      <x:c r="I125" s="29" t="str">
        <x:v>从传统约束扩展到价值、成果和干系人感知</x:v>
      </x:c>
      <x:c r="J125" s="29" t="str">
        <x:v>范围进度成本达标仍可能价值失败</x:v>
      </x:c>
      <x:c r="K125" s="20" t="str">
        <x:v>Not Started 未学</x:v>
      </x:c>
      <x:c r="L125" s="23"/>
      <x:c r="M125" s="23"/>
      <x:c r="N125" s="20"/>
      <x:c r="O125" s="20" t="n">
        <x:v>0</x:v>
      </x:c>
      <x:c r="P125" s="20" t="n">
        <x:v>0</x:v>
      </x:c>
      <x:c r="Q125" s="26" t="str">
        <x:f>IF(O125=0,"",P125/O125)</x:f>
      </x:c>
    </x:row>
    <x:row r="126">
      <x:c r="A126" s="20" t="str">
        <x:v>KP-125</x:v>
      </x:c>
      <x:c r="B126" s="20" t="str">
        <x:v>Business Environment</x:v>
      </x:c>
      <x:c r="C126" s="20" t="str">
        <x:v>BE1</x:v>
      </x:c>
      <x:c r="D126" s="20" t="str">
        <x:v>06</x:v>
      </x:c>
      <x:c r="E126" s="20" t="str">
        <x:v>🟡 易错 Easy to Confuse</x:v>
      </x:c>
      <x:c r="F126" s="20" t="str">
        <x:v>All</x:v>
      </x:c>
      <x:c r="G126" s="29" t="str">
        <x:v>升级路径与阈值</x:v>
      </x:c>
      <x:c r="H126" s="29" t="str">
        <x:v>Escalation Path and Threshold</x:v>
      </x:c>
      <x:c r="I126" s="29" t="str">
        <x:v>预先定义何时、向谁升级</x:v>
      </x:c>
      <x:c r="J126" s="29" t="str">
        <x:v>不是遇到问题立即升级</x:v>
      </x:c>
      <x:c r="K126" s="20" t="str">
        <x:v>Not Started 未学</x:v>
      </x:c>
      <x:c r="L126" s="23"/>
      <x:c r="M126" s="23"/>
      <x:c r="N126" s="20"/>
      <x:c r="O126" s="20" t="n">
        <x:v>0</x:v>
      </x:c>
      <x:c r="P126" s="20" t="n">
        <x:v>0</x:v>
      </x:c>
      <x:c r="Q126" s="26" t="str">
        <x:f>IF(O126=0,"",P126/O126)</x:f>
      </x:c>
    </x:row>
    <x:row r="127">
      <x:c r="A127" s="20" t="str">
        <x:v>KP-126</x:v>
      </x:c>
      <x:c r="B127" s="20" t="str">
        <x:v>Business Environment</x:v>
      </x:c>
      <x:c r="C127" s="20" t="str">
        <x:v>BE1</x:v>
      </x:c>
      <x:c r="D127" s="20" t="str">
        <x:v>06</x:v>
      </x:c>
      <x:c r="E127" s="20" t="str">
        <x:v>🟠 高频 High Frequency</x:v>
      </x:c>
      <x:c r="F127" s="20" t="str">
        <x:v>All</x:v>
      </x:c>
      <x:c r="G127" s="29" t="str">
        <x:v>职业道德</x:v>
      </x:c>
      <x:c r="H127" s="29" t="str">
        <x:v>Professional Ethics</x:v>
      </x:c>
      <x:c r="I127" s="29" t="str">
        <x:v>责任、尊重、公正、诚实地决策与披露</x:v>
      </x:c>
      <x:c r="J127" s="29" t="str">
        <x:v>不能用商业压力合理化隐瞒</x:v>
      </x:c>
      <x:c r="K127" s="20" t="str">
        <x:v>Not Started 未学</x:v>
      </x:c>
      <x:c r="L127" s="23"/>
      <x:c r="M127" s="23"/>
      <x:c r="N127" s="20"/>
      <x:c r="O127" s="20" t="n">
        <x:v>0</x:v>
      </x:c>
      <x:c r="P127" s="20" t="n">
        <x:v>0</x:v>
      </x:c>
      <x:c r="Q127" s="26" t="str">
        <x:f>IF(O127=0,"",P127/O127)</x:f>
      </x:c>
    </x:row>
    <x:row r="128">
      <x:c r="A128" s="20" t="str">
        <x:v>KP-127</x:v>
      </x:c>
      <x:c r="B128" s="20" t="str">
        <x:v>Business Environment</x:v>
      </x:c>
      <x:c r="C128" s="20" t="str">
        <x:v>BE2</x:v>
      </x:c>
      <x:c r="D128" s="20" t="str">
        <x:v>06</x:v>
      </x:c>
      <x:c r="E128" s="20" t="str">
        <x:v>🔴 必考 Must Know</x:v>
      </x:c>
      <x:c r="F128" s="20" t="str">
        <x:v>All</x:v>
      </x:c>
      <x:c r="G128" s="29" t="str">
        <x:v>合规需求</x:v>
      </x:c>
      <x:c r="H128" s="29" t="str">
        <x:v>Compliance Requirements</x:v>
      </x:c>
      <x:c r="I128" s="29" t="str">
        <x:v>识别安全、健康、隐私、监管和可持续要求</x:v>
      </x:c>
      <x:c r="J128" s="29" t="str">
        <x:v>合规不是可选功能</x:v>
      </x:c>
      <x:c r="K128" s="20" t="str">
        <x:v>Not Started 未学</x:v>
      </x:c>
      <x:c r="L128" s="23"/>
      <x:c r="M128" s="23"/>
      <x:c r="N128" s="20"/>
      <x:c r="O128" s="20" t="n">
        <x:v>0</x:v>
      </x:c>
      <x:c r="P128" s="20" t="n">
        <x:v>0</x:v>
      </x:c>
      <x:c r="Q128" s="26" t="str">
        <x:f>IF(O128=0,"",P128/O128)</x:f>
      </x:c>
    </x:row>
    <x:row r="129">
      <x:c r="A129" s="20" t="str">
        <x:v>KP-128</x:v>
      </x:c>
      <x:c r="B129" s="20" t="str">
        <x:v>Business Environment</x:v>
      </x:c>
      <x:c r="C129" s="20" t="str">
        <x:v>BE2</x:v>
      </x:c>
      <x:c r="D129" s="20" t="str">
        <x:v>06</x:v>
      </x:c>
      <x:c r="E129" s="20" t="str">
        <x:v>🟠 高频 High Frequency</x:v>
      </x:c>
      <x:c r="F129" s="20" t="str">
        <x:v>All</x:v>
      </x:c>
      <x:c r="G129" s="29" t="str">
        <x:v>不合规后果</x:v>
      </x:c>
      <x:c r="H129" s="29" t="str">
        <x:v>Consequences of Noncompliance</x:v>
      </x:c>
      <x:c r="I129" s="29" t="str">
        <x:v>评估法律、财务、声誉和人员影响</x:v>
      </x:c>
      <x:c r="J129" s="29" t="str">
        <x:v>高风险时需及时保护和升级</x:v>
      </x:c>
      <x:c r="K129" s="20" t="str">
        <x:v>Not Started 未学</x:v>
      </x:c>
      <x:c r="L129" s="23"/>
      <x:c r="M129" s="23"/>
      <x:c r="N129" s="20"/>
      <x:c r="O129" s="20" t="n">
        <x:v>0</x:v>
      </x:c>
      <x:c r="P129" s="20" t="n">
        <x:v>0</x:v>
      </x:c>
      <x:c r="Q129" s="26" t="str">
        <x:f>IF(O129=0,"",P129/O129)</x:f>
      </x:c>
    </x:row>
    <x:row r="130">
      <x:c r="A130" s="20" t="str">
        <x:v>KP-129</x:v>
      </x:c>
      <x:c r="B130" s="20" t="str">
        <x:v>Business Environment</x:v>
      </x:c>
      <x:c r="C130" s="20" t="str">
        <x:v>BE2</x:v>
      </x:c>
      <x:c r="D130" s="20" t="str">
        <x:v>06</x:v>
      </x:c>
      <x:c r="E130" s="20" t="str">
        <x:v>🟠 高频 High Frequency</x:v>
      </x:c>
      <x:c r="F130" s="20" t="str">
        <x:v>All</x:v>
      </x:c>
      <x:c r="G130" s="29" t="str">
        <x:v>合规度量</x:v>
      </x:c>
      <x:c r="H130" s="29" t="str">
        <x:v>Compliance Measurement</x:v>
      </x:c>
      <x:c r="I130" s="29" t="str">
        <x:v>定义证据、审计、阈值和纠正机制</x:v>
      </x:c>
      <x:c r="J130" s="29" t="str">
        <x:v>仅声明遵守不足以证明</x:v>
      </x:c>
      <x:c r="K130" s="20" t="str">
        <x:v>Not Started 未学</x:v>
      </x:c>
      <x:c r="L130" s="23"/>
      <x:c r="M130" s="23"/>
      <x:c r="N130" s="20"/>
      <x:c r="O130" s="20" t="n">
        <x:v>0</x:v>
      </x:c>
      <x:c r="P130" s="20" t="n">
        <x:v>0</x:v>
      </x:c>
      <x:c r="Q130" s="26" t="str">
        <x:f>IF(O130=0,"",P130/O130)</x:f>
      </x:c>
    </x:row>
    <x:row r="131">
      <x:c r="A131" s="20" t="str">
        <x:v>KP-130</x:v>
      </x:c>
      <x:c r="B131" s="20" t="str">
        <x:v>Business Environment</x:v>
      </x:c>
      <x:c r="C131" s="20" t="str">
        <x:v>BE2</x:v>
      </x:c>
      <x:c r="D131" s="20" t="str">
        <x:v>06</x:v>
      </x:c>
      <x:c r="E131" s="20" t="str">
        <x:v>🟠 高频 High Frequency</x:v>
      </x:c>
      <x:c r="F131" s="20" t="str">
        <x:v>All</x:v>
      </x:c>
      <x:c r="G131" s="29" t="str">
        <x:v>数据隐私</x:v>
      </x:c>
      <x:c r="H131" s="29" t="str">
        <x:v>Data Privacy</x:v>
      </x:c>
      <x:c r="I131" s="29" t="str">
        <x:v>限定目的、最小化数据、控制访问和保留</x:v>
      </x:c>
      <x:c r="J131" s="29" t="str">
        <x:v>AI 场景同样适用</x:v>
      </x:c>
      <x:c r="K131" s="20" t="str">
        <x:v>Not Started 未学</x:v>
      </x:c>
      <x:c r="L131" s="23"/>
      <x:c r="M131" s="23"/>
      <x:c r="N131" s="20"/>
      <x:c r="O131" s="20" t="n">
        <x:v>0</x:v>
      </x:c>
      <x:c r="P131" s="20" t="n">
        <x:v>0</x:v>
      </x:c>
      <x:c r="Q131" s="26" t="str">
        <x:f>IF(O131=0,"",P131/O131)</x:f>
      </x:c>
    </x:row>
    <x:row r="132">
      <x:c r="A132" s="20" t="str">
        <x:v>KP-131</x:v>
      </x:c>
      <x:c r="B132" s="20" t="str">
        <x:v>Business Environment</x:v>
      </x:c>
      <x:c r="C132" s="20" t="str">
        <x:v>BE2</x:v>
      </x:c>
      <x:c r="D132" s="20" t="str">
        <x:v>06</x:v>
      </x:c>
      <x:c r="E132" s="20" t="str">
        <x:v>🟠 高频 High Frequency</x:v>
      </x:c>
      <x:c r="F132" s="20" t="str">
        <x:v>All</x:v>
      </x:c>
      <x:c r="G132" s="29" t="str">
        <x:v>信息安全</x:v>
      </x:c>
      <x:c r="H132" s="29" t="str">
        <x:v>Information Security</x:v>
      </x:c>
      <x:c r="I132" s="29" t="str">
        <x:v>按风险保护机密性、完整性和可用性</x:v>
      </x:c>
      <x:c r="J132" s="29" t="str">
        <x:v>安全不可只在上线前检查</x:v>
      </x:c>
      <x:c r="K132" s="20" t="str">
        <x:v>Not Started 未学</x:v>
      </x:c>
      <x:c r="L132" s="23"/>
      <x:c r="M132" s="23"/>
      <x:c r="N132" s="20"/>
      <x:c r="O132" s="20" t="n">
        <x:v>0</x:v>
      </x:c>
      <x:c r="P132" s="20" t="n">
        <x:v>0</x:v>
      </x:c>
      <x:c r="Q132" s="26" t="str">
        <x:f>IF(O132=0,"",P132/O132)</x:f>
      </x:c>
    </x:row>
    <x:row r="133">
      <x:c r="A133" s="20" t="str">
        <x:v>KP-132</x:v>
      </x:c>
      <x:c r="B133" s="20" t="str">
        <x:v>Business Environment</x:v>
      </x:c>
      <x:c r="C133" s="20" t="str">
        <x:v>BE3</x:v>
      </x:c>
      <x:c r="D133" s="20" t="str">
        <x:v>06</x:v>
      </x:c>
      <x:c r="E133" s="20" t="str">
        <x:v>🔴 必考 Must Know</x:v>
      </x:c>
      <x:c r="F133" s="20" t="str">
        <x:v>All</x:v>
      </x:c>
      <x:c r="G133" s="29" t="str">
        <x:v>变更请求</x:v>
      </x:c>
      <x:c r="H133" s="29" t="str">
        <x:v>Change Request</x:v>
      </x:c>
      <x:c r="I133" s="29" t="str">
        <x:v>正式记录纠正、预防、缺陷修复或更新</x:v>
      </x:c>
      <x:c r="J133" s="29" t="str">
        <x:v>提出不代表批准</x:v>
      </x:c>
      <x:c r="K133" s="20" t="str">
        <x:v>Not Started 未学</x:v>
      </x:c>
      <x:c r="L133" s="23"/>
      <x:c r="M133" s="23"/>
      <x:c r="N133" s="20"/>
      <x:c r="O133" s="20" t="n">
        <x:v>0</x:v>
      </x:c>
      <x:c r="P133" s="20" t="n">
        <x:v>0</x:v>
      </x:c>
      <x:c r="Q133" s="26" t="str">
        <x:f>IF(O133=0,"",P133/O133)</x:f>
      </x:c>
    </x:row>
    <x:row r="134">
      <x:c r="A134" s="20" t="str">
        <x:v>KP-133</x:v>
      </x:c>
      <x:c r="B134" s="20" t="str">
        <x:v>Business Environment</x:v>
      </x:c>
      <x:c r="C134" s="20" t="str">
        <x:v>BE3</x:v>
      </x:c>
      <x:c r="D134" s="20" t="str">
        <x:v>06</x:v>
      </x:c>
      <x:c r="E134" s="20" t="str">
        <x:v>🔴 必考 Must Know</x:v>
      </x:c>
      <x:c r="F134" s="20" t="str">
        <x:v>All</x:v>
      </x:c>
      <x:c r="G134" s="29" t="str">
        <x:v>影响分析</x:v>
      </x:c>
      <x:c r="H134" s="29" t="str">
        <x:v>Impact Analysis</x:v>
      </x:c>
      <x:c r="I134" s="29" t="str">
        <x:v>分析范围、进度、成本、质量、风险、价值和资源影响</x:v>
      </x:c>
      <x:c r="J134" s="29" t="str">
        <x:v>不能先实施再补分析</x:v>
      </x:c>
      <x:c r="K134" s="20" t="str">
        <x:v>Not Started 未学</x:v>
      </x:c>
      <x:c r="L134" s="23"/>
      <x:c r="M134" s="23"/>
      <x:c r="N134" s="20"/>
      <x:c r="O134" s="20" t="n">
        <x:v>0</x:v>
      </x:c>
      <x:c r="P134" s="20" t="n">
        <x:v>0</x:v>
      </x:c>
      <x:c r="Q134" s="26" t="str">
        <x:f>IF(O134=0,"",P134/O134)</x:f>
      </x:c>
    </x:row>
    <x:row r="135">
      <x:c r="A135" s="20" t="str">
        <x:v>KP-134</x:v>
      </x:c>
      <x:c r="B135" s="20" t="str">
        <x:v>Business Environment</x:v>
      </x:c>
      <x:c r="C135" s="20" t="str">
        <x:v>BE3</x:v>
      </x:c>
      <x:c r="D135" s="20" t="str">
        <x:v>06</x:v>
      </x:c>
      <x:c r="E135" s="20" t="str">
        <x:v>🔴 必考 Must Know</x:v>
      </x:c>
      <x:c r="F135" s="20" t="str">
        <x:v>All</x:v>
      </x:c>
      <x:c r="G135" s="29" t="str">
        <x:v>实施整体变更控制</x:v>
      </x:c>
      <x:c r="H135" s="29" t="str">
        <x:v>Perform Integrated Change Control</x:v>
      </x:c>
      <x:c r="I135" s="29" t="str">
        <x:v>审查、批准/拒绝并管理已批准变更</x:v>
      </x:c>
      <x:c r="J135" s="29" t="str">
        <x:v>PM 未必可独自批准所有变更</x:v>
      </x:c>
      <x:c r="K135" s="20" t="str">
        <x:v>Not Started 未学</x:v>
      </x:c>
      <x:c r="L135" s="23"/>
      <x:c r="M135" s="23"/>
      <x:c r="N135" s="20"/>
      <x:c r="O135" s="20" t="n">
        <x:v>0</x:v>
      </x:c>
      <x:c r="P135" s="20" t="n">
        <x:v>0</x:v>
      </x:c>
      <x:c r="Q135" s="26" t="str">
        <x:f>IF(O135=0,"",P135/O135)</x:f>
      </x:c>
    </x:row>
    <x:row r="136">
      <x:c r="A136" s="20" t="str">
        <x:v>KP-135</x:v>
      </x:c>
      <x:c r="B136" s="20" t="str">
        <x:v>Business Environment</x:v>
      </x:c>
      <x:c r="C136" s="20" t="str">
        <x:v>BE3</x:v>
      </x:c>
      <x:c r="D136" s="20" t="str">
        <x:v>06</x:v>
      </x:c>
      <x:c r="E136" s="20" t="str">
        <x:v>🟡 易错 Easy to Confuse</x:v>
      </x:c>
      <x:c r="F136" s="20" t="str">
        <x:v>All</x:v>
      </x:c>
      <x:c r="G136" s="29" t="str">
        <x:v>变更控制委员会</x:v>
      </x:c>
      <x:c r="H136" s="29" t="str">
        <x:v>Change Control Board (CCB)</x:v>
      </x:c>
      <x:c r="I136" s="29" t="str">
        <x:v>按授权审查特定变更</x:v>
      </x:c>
      <x:c r="J136" s="29" t="str">
        <x:v>不是每个变更都必须交同一 CCB</x:v>
      </x:c>
      <x:c r="K136" s="20" t="str">
        <x:v>Not Started 未学</x:v>
      </x:c>
      <x:c r="L136" s="23"/>
      <x:c r="M136" s="23"/>
      <x:c r="N136" s="20"/>
      <x:c r="O136" s="20" t="n">
        <x:v>0</x:v>
      </x:c>
      <x:c r="P136" s="20" t="n">
        <x:v>0</x:v>
      </x:c>
      <x:c r="Q136" s="26" t="str">
        <x:f>IF(O136=0,"",P136/O136)</x:f>
      </x:c>
    </x:row>
    <x:row r="137">
      <x:c r="A137" s="20" t="str">
        <x:v>KP-136</x:v>
      </x:c>
      <x:c r="B137" s="20" t="str">
        <x:v>Business Environment</x:v>
      </x:c>
      <x:c r="C137" s="20" t="str">
        <x:v>BE3</x:v>
      </x:c>
      <x:c r="D137" s="20" t="str">
        <x:v>06</x:v>
      </x:c>
      <x:c r="E137" s="20" t="str">
        <x:v>🔴 必考 Must Know</x:v>
      </x:c>
      <x:c r="F137" s="20" t="str">
        <x:v>All</x:v>
      </x:c>
      <x:c r="G137" s="29" t="str">
        <x:v>敏捷中的变更</x:v>
      </x:c>
      <x:c r="H137" s="29" t="str">
        <x:v>Change in Agile</x:v>
      </x:c>
      <x:c r="I137" s="29" t="str">
        <x:v>新需求进入 Product Backlog，由 PO 排序并在未来迭代考虑</x:v>
      </x:c>
      <x:c r="J137" s="29" t="str">
        <x:v>不要中途随意打断 Sprint</x:v>
      </x:c>
      <x:c r="K137" s="20" t="str">
        <x:v>Not Started 未学</x:v>
      </x:c>
      <x:c r="L137" s="23"/>
      <x:c r="M137" s="23"/>
      <x:c r="N137" s="20"/>
      <x:c r="O137" s="20" t="n">
        <x:v>0</x:v>
      </x:c>
      <x:c r="P137" s="20" t="n">
        <x:v>0</x:v>
      </x:c>
      <x:c r="Q137" s="26" t="str">
        <x:f>IF(O137=0,"",P137/O137)</x:f>
      </x:c>
    </x:row>
    <x:row r="138">
      <x:c r="A138" s="20" t="str">
        <x:v>KP-137</x:v>
      </x:c>
      <x:c r="B138" s="20" t="str">
        <x:v>Business Environment</x:v>
      </x:c>
      <x:c r="C138" s="20" t="str">
        <x:v>BE4</x:v>
      </x:c>
      <x:c r="D138" s="20" t="str">
        <x:v>07</x:v>
      </x:c>
      <x:c r="E138" s="20" t="str">
        <x:v>🟠 高频 High Frequency</x:v>
      </x:c>
      <x:c r="F138" s="20" t="str">
        <x:v>All</x:v>
      </x:c>
      <x:c r="G138" s="29" t="str">
        <x:v>障碍</x:v>
      </x:c>
      <x:c r="H138" s="29" t="str">
        <x:v>Impediment</x:v>
      </x:c>
      <x:c r="I138" s="29" t="str">
        <x:v>阻碍团队进展的条件，由服务型领导促进移除</x:v>
      </x:c>
      <x:c r="J138" s="29" t="str">
        <x:v>团队能解决的先赋能团队</x:v>
      </x:c>
      <x:c r="K138" s="20" t="str">
        <x:v>Not Started 未学</x:v>
      </x:c>
      <x:c r="L138" s="23"/>
      <x:c r="M138" s="23"/>
      <x:c r="N138" s="20"/>
      <x:c r="O138" s="20" t="n">
        <x:v>0</x:v>
      </x:c>
      <x:c r="P138" s="20" t="n">
        <x:v>0</x:v>
      </x:c>
      <x:c r="Q138" s="26" t="str">
        <x:f>IF(O138=0,"",P138/O138)</x:f>
      </x:c>
    </x:row>
    <x:row r="139">
      <x:c r="A139" s="20" t="str">
        <x:v>KP-138</x:v>
      </x:c>
      <x:c r="B139" s="20" t="str">
        <x:v>Business Environment</x:v>
      </x:c>
      <x:c r="C139" s="20" t="str">
        <x:v>BE4</x:v>
      </x:c>
      <x:c r="D139" s="20" t="str">
        <x:v>07</x:v>
      </x:c>
      <x:c r="E139" s="20" t="str">
        <x:v>🔴 必考 Must Know</x:v>
      </x:c>
      <x:c r="F139" s="20" t="str">
        <x:v>All</x:v>
      </x:c>
      <x:c r="G139" s="29" t="str">
        <x:v>问题日志</x:v>
      </x:c>
      <x:c r="H139" s="29" t="str">
        <x:v>Issue Log</x:v>
      </x:c>
      <x:c r="I139" s="29" t="str">
        <x:v>记录已发生问题、负责人、状态和目标日期</x:v>
      </x:c>
      <x:c r="J139" s="29" t="str">
        <x:v>与 Risk Register 易混</x:v>
      </x:c>
      <x:c r="K139" s="20" t="str">
        <x:v>Not Started 未学</x:v>
      </x:c>
      <x:c r="L139" s="23"/>
      <x:c r="M139" s="23"/>
      <x:c r="N139" s="20"/>
      <x:c r="O139" s="20" t="n">
        <x:v>0</x:v>
      </x:c>
      <x:c r="P139" s="20" t="n">
        <x:v>0</x:v>
      </x:c>
      <x:c r="Q139" s="26" t="str">
        <x:f>IF(O139=0,"",P139/O139)</x:f>
      </x:c>
    </x:row>
    <x:row r="140">
      <x:c r="A140" s="20" t="str">
        <x:v>KP-139</x:v>
      </x:c>
      <x:c r="B140" s="20" t="str">
        <x:v>Business Environment</x:v>
      </x:c>
      <x:c r="C140" s="20" t="str">
        <x:v>BE4</x:v>
      </x:c>
      <x:c r="D140" s="20" t="str">
        <x:v>07</x:v>
      </x:c>
      <x:c r="E140" s="20" t="str">
        <x:v>🔴 必考 Must Know</x:v>
      </x:c>
      <x:c r="F140" s="20" t="str">
        <x:v>All</x:v>
      </x:c>
      <x:c r="G140" s="29" t="str">
        <x:v>风险转化为问题</x:v>
      </x:c>
      <x:c r="H140" s="29" t="str">
        <x:v>Risk Becomes an Issue</x:v>
      </x:c>
      <x:c r="I140" s="29" t="str">
        <x:v>触发条件发生后切换到问题处理并执行响应/权变</x:v>
      </x:c>
      <x:c r="J140" s="29" t="str">
        <x:v>仍只监控风险登记册会延误</x:v>
      </x:c>
      <x:c r="K140" s="20" t="str">
        <x:v>Not Started 未学</x:v>
      </x:c>
      <x:c r="L140" s="23"/>
      <x:c r="M140" s="23"/>
      <x:c r="N140" s="20"/>
      <x:c r="O140" s="20" t="n">
        <x:v>0</x:v>
      </x:c>
      <x:c r="P140" s="20" t="n">
        <x:v>0</x:v>
      </x:c>
      <x:c r="Q140" s="26" t="str">
        <x:f>IF(O140=0,"",P140/O140)</x:f>
      </x:c>
    </x:row>
    <x:row r="141">
      <x:c r="A141" s="20" t="str">
        <x:v>KP-140</x:v>
      </x:c>
      <x:c r="B141" s="20" t="str">
        <x:v>Business Environment</x:v>
      </x:c>
      <x:c r="C141" s="20" t="str">
        <x:v>BE4</x:v>
      </x:c>
      <x:c r="D141" s="20" t="str">
        <x:v>07</x:v>
      </x:c>
      <x:c r="E141" s="20" t="str">
        <x:v>🟡 易错 Easy to Confuse</x:v>
      </x:c>
      <x:c r="F141" s="20" t="str">
        <x:v>All</x:v>
      </x:c>
      <x:c r="G141" s="29" t="str">
        <x:v>权变措施</x:v>
      </x:c>
      <x:c r="H141" s="29" t="str">
        <x:v>Workaround</x:v>
      </x:c>
      <x:c r="I141" s="29" t="str">
        <x:v>对未识别或无预案的已发生问题采取响应</x:v>
      </x:c>
      <x:c r="J141" s="29" t="str">
        <x:v>不同于预先计划的风险响应</x:v>
      </x:c>
      <x:c r="K141" s="20" t="str">
        <x:v>Not Started 未学</x:v>
      </x:c>
      <x:c r="L141" s="23"/>
      <x:c r="M141" s="23"/>
      <x:c r="N141" s="20"/>
      <x:c r="O141" s="20" t="n">
        <x:v>0</x:v>
      </x:c>
      <x:c r="P141" s="20" t="n">
        <x:v>0</x:v>
      </x:c>
      <x:c r="Q141" s="26" t="str">
        <x:f>IF(O141=0,"",P141/O141)</x:f>
      </x:c>
    </x:row>
    <x:row r="142">
      <x:c r="A142" s="20" t="str">
        <x:v>KP-141</x:v>
      </x:c>
      <x:c r="B142" s="20" t="str">
        <x:v>Business Environment</x:v>
      </x:c>
      <x:c r="C142" s="20" t="str">
        <x:v>BE5</x:v>
      </x:c>
      <x:c r="D142" s="20" t="str">
        <x:v>07</x:v>
      </x:c>
      <x:c r="E142" s="20" t="str">
        <x:v>🔴 必考 Must Know</x:v>
      </x:c>
      <x:c r="F142" s="20" t="str">
        <x:v>All</x:v>
      </x:c>
      <x:c r="G142" s="29" t="str">
        <x:v>风险管理计划</x:v>
      </x:c>
      <x:c r="H142" s="29" t="str">
        <x:v>Risk Management Plan</x:v>
      </x:c>
      <x:c r="I142" s="29" t="str">
        <x:v>规定方法、角色、类别、阈值和报告</x:v>
      </x:c>
      <x:c r="J142" s="29" t="str">
        <x:v>不列具体风险本身</x:v>
      </x:c>
      <x:c r="K142" s="20" t="str">
        <x:v>Not Started 未学</x:v>
      </x:c>
      <x:c r="L142" s="23"/>
      <x:c r="M142" s="23"/>
      <x:c r="N142" s="20"/>
      <x:c r="O142" s="20" t="n">
        <x:v>0</x:v>
      </x:c>
      <x:c r="P142" s="20" t="n">
        <x:v>0</x:v>
      </x:c>
      <x:c r="Q142" s="26" t="str">
        <x:f>IF(O142=0,"",P142/O142)</x:f>
      </x:c>
    </x:row>
    <x:row r="143">
      <x:c r="A143" s="20" t="str">
        <x:v>KP-142</x:v>
      </x:c>
      <x:c r="B143" s="20" t="str">
        <x:v>Business Environment</x:v>
      </x:c>
      <x:c r="C143" s="20" t="str">
        <x:v>BE5</x:v>
      </x:c>
      <x:c r="D143" s="20" t="str">
        <x:v>07</x:v>
      </x:c>
      <x:c r="E143" s="20" t="str">
        <x:v>🔴 必考 Must Know</x:v>
      </x:c>
      <x:c r="F143" s="20" t="str">
        <x:v>All</x:v>
      </x:c>
      <x:c r="G143" s="29" t="str">
        <x:v>风险登记册</x:v>
      </x:c>
      <x:c r="H143" s="29" t="str">
        <x:v>Risk Register</x:v>
      </x:c>
      <x:c r="I143" s="29" t="str">
        <x:v>记录风险、原因、触发、分析、责任人和响应</x:v>
      </x:c>
      <x:c r="J143" s="29" t="str">
        <x:v>与风险报告/问题日志易混</x:v>
      </x:c>
      <x:c r="K143" s="20" t="str">
        <x:v>Not Started 未学</x:v>
      </x:c>
      <x:c r="L143" s="23"/>
      <x:c r="M143" s="23"/>
      <x:c r="N143" s="20"/>
      <x:c r="O143" s="20" t="n">
        <x:v>0</x:v>
      </x:c>
      <x:c r="P143" s="20" t="n">
        <x:v>0</x:v>
      </x:c>
      <x:c r="Q143" s="26" t="str">
        <x:f>IF(O143=0,"",P143/O143)</x:f>
      </x:c>
    </x:row>
    <x:row r="144">
      <x:c r="A144" s="20" t="str">
        <x:v>KP-143</x:v>
      </x:c>
      <x:c r="B144" s="20" t="str">
        <x:v>Business Environment</x:v>
      </x:c>
      <x:c r="C144" s="20" t="str">
        <x:v>BE5</x:v>
      </x:c>
      <x:c r="D144" s="20" t="str">
        <x:v>07</x:v>
      </x:c>
      <x:c r="E144" s="20" t="str">
        <x:v>🟡 易错 Easy to Confuse</x:v>
      </x:c>
      <x:c r="F144" s="20" t="str">
        <x:v>All</x:v>
      </x:c>
      <x:c r="G144" s="29" t="str">
        <x:v>风险报告</x:v>
      </x:c>
      <x:c r="H144" s="29" t="str">
        <x:v>Risk Report</x:v>
      </x:c>
      <x:c r="I144" s="29" t="str">
        <x:v>汇总整体风险暴露和趋势</x:v>
      </x:c>
      <x:c r="J144" s="29" t="str">
        <x:v>不是逐项清单的替代</x:v>
      </x:c>
      <x:c r="K144" s="20" t="str">
        <x:v>Not Started 未学</x:v>
      </x:c>
      <x:c r="L144" s="23"/>
      <x:c r="M144" s="23"/>
      <x:c r="N144" s="20"/>
      <x:c r="O144" s="20" t="n">
        <x:v>0</x:v>
      </x:c>
      <x:c r="P144" s="20" t="n">
        <x:v>0</x:v>
      </x:c>
      <x:c r="Q144" s="26" t="str">
        <x:f>IF(O144=0,"",P144/O144)</x:f>
      </x:c>
    </x:row>
    <x:row r="145">
      <x:c r="A145" s="20" t="str">
        <x:v>KP-144</x:v>
      </x:c>
      <x:c r="B145" s="20" t="str">
        <x:v>Business Environment</x:v>
      </x:c>
      <x:c r="C145" s="20" t="str">
        <x:v>BE5</x:v>
      </x:c>
      <x:c r="D145" s="20" t="str">
        <x:v>07</x:v>
      </x:c>
      <x:c r="E145" s="20" t="str">
        <x:v>🟡 易错 Easy to Confuse</x:v>
      </x:c>
      <x:c r="F145" s="20" t="str">
        <x:v>All</x:v>
      </x:c>
      <x:c r="G145" s="29" t="str">
        <x:v>定性风险分析</x:v>
      </x:c>
      <x:c r="H145" s="29" t="str">
        <x:v>Qualitative Risk Analysis</x:v>
      </x:c>
      <x:c r="I145" s="29" t="str">
        <x:v>按概率、影响、紧迫性等排序</x:v>
      </x:c>
      <x:c r="J145" s="29" t="str">
        <x:v>优先级不是精确货币值</x:v>
      </x:c>
      <x:c r="K145" s="20" t="str">
        <x:v>Not Started 未学</x:v>
      </x:c>
      <x:c r="L145" s="23"/>
      <x:c r="M145" s="23"/>
      <x:c r="N145" s="20"/>
      <x:c r="O145" s="20" t="n">
        <x:v>0</x:v>
      </x:c>
      <x:c r="P145" s="20" t="n">
        <x:v>0</x:v>
      </x:c>
      <x:c r="Q145" s="26" t="str">
        <x:f>IF(O145=0,"",P145/O145)</x:f>
      </x:c>
    </x:row>
    <x:row r="146">
      <x:c r="A146" s="20" t="str">
        <x:v>KP-145</x:v>
      </x:c>
      <x:c r="B146" s="20" t="str">
        <x:v>Business Environment</x:v>
      </x:c>
      <x:c r="C146" s="20" t="str">
        <x:v>BE5</x:v>
      </x:c>
      <x:c r="D146" s="20" t="str">
        <x:v>07</x:v>
      </x:c>
      <x:c r="E146" s="20" t="str">
        <x:v>🟡 易错 Easy to Confuse</x:v>
      </x:c>
      <x:c r="F146" s="20" t="str">
        <x:v>All</x:v>
      </x:c>
      <x:c r="G146" s="29" t="str">
        <x:v>定量风险分析</x:v>
      </x:c>
      <x:c r="H146" s="29" t="str">
        <x:v>Quantitative Risk Analysis</x:v>
      </x:c>
      <x:c r="I146" s="29" t="str">
        <x:v>量化整体目标影响，如模拟、决策树和 EMV</x:v>
      </x:c>
      <x:c r="J146" s="29" t="str">
        <x:v>并非每个项目都必须做</x:v>
      </x:c>
      <x:c r="K146" s="20" t="str">
        <x:v>Not Started 未学</x:v>
      </x:c>
      <x:c r="L146" s="23"/>
      <x:c r="M146" s="23"/>
      <x:c r="N146" s="20"/>
      <x:c r="O146" s="20" t="n">
        <x:v>0</x:v>
      </x:c>
      <x:c r="P146" s="20" t="n">
        <x:v>0</x:v>
      </x:c>
      <x:c r="Q146" s="26" t="str">
        <x:f>IF(O146=0,"",P146/O146)</x:f>
      </x:c>
    </x:row>
    <x:row r="147">
      <x:c r="A147" s="20" t="str">
        <x:v>KP-146</x:v>
      </x:c>
      <x:c r="B147" s="20" t="str">
        <x:v>Business Environment</x:v>
      </x:c>
      <x:c r="C147" s="20" t="str">
        <x:v>BE5</x:v>
      </x:c>
      <x:c r="D147" s="20" t="str">
        <x:v>07</x:v>
      </x:c>
      <x:c r="E147" s="20" t="str">
        <x:v>🔴 必考 Must Know</x:v>
      </x:c>
      <x:c r="F147" s="20" t="str">
        <x:v>All</x:v>
      </x:c>
      <x:c r="G147" s="29" t="str">
        <x:v>威胁规避</x:v>
      </x:c>
      <x:c r="H147" s="29" t="str">
        <x:v>Avoid Threat</x:v>
      </x:c>
      <x:c r="I147" s="29" t="str">
        <x:v>改变计划以消除威胁或保护目标</x:v>
      </x:c>
      <x:c r="J147" s="29" t="str">
        <x:v>不同于减轻概率/影响</x:v>
      </x:c>
      <x:c r="K147" s="20" t="str">
        <x:v>Not Started 未学</x:v>
      </x:c>
      <x:c r="L147" s="23"/>
      <x:c r="M147" s="23"/>
      <x:c r="N147" s="20"/>
      <x:c r="O147" s="20" t="n">
        <x:v>0</x:v>
      </x:c>
      <x:c r="P147" s="20" t="n">
        <x:v>0</x:v>
      </x:c>
      <x:c r="Q147" s="26" t="str">
        <x:f>IF(O147=0,"",P147/O147)</x:f>
      </x:c>
    </x:row>
    <x:row r="148">
      <x:c r="A148" s="20" t="str">
        <x:v>KP-147</x:v>
      </x:c>
      <x:c r="B148" s="20" t="str">
        <x:v>Business Environment</x:v>
      </x:c>
      <x:c r="C148" s="20" t="str">
        <x:v>BE5</x:v>
      </x:c>
      <x:c r="D148" s="20" t="str">
        <x:v>07</x:v>
      </x:c>
      <x:c r="E148" s="20" t="str">
        <x:v>🔴 必考 Must Know</x:v>
      </x:c>
      <x:c r="F148" s="20" t="str">
        <x:v>All</x:v>
      </x:c>
      <x:c r="G148" s="29" t="str">
        <x:v>威胁转移</x:v>
      </x:c>
      <x:c r="H148" s="29" t="str">
        <x:v>Transfer Threat</x:v>
      </x:c>
      <x:c r="I148" s="29" t="str">
        <x:v>把财务后果/责任转给第三方</x:v>
      </x:c>
      <x:c r="J148" s="29" t="str">
        <x:v>风险本身不一定消失</x:v>
      </x:c>
      <x:c r="K148" s="20" t="str">
        <x:v>Not Started 未学</x:v>
      </x:c>
      <x:c r="L148" s="23"/>
      <x:c r="M148" s="23"/>
      <x:c r="N148" s="20"/>
      <x:c r="O148" s="20" t="n">
        <x:v>0</x:v>
      </x:c>
      <x:c r="P148" s="20" t="n">
        <x:v>0</x:v>
      </x:c>
      <x:c r="Q148" s="26" t="str">
        <x:f>IF(O148=0,"",P148/O148)</x:f>
      </x:c>
    </x:row>
    <x:row r="149">
      <x:c r="A149" s="20" t="str">
        <x:v>KP-148</x:v>
      </x:c>
      <x:c r="B149" s="20" t="str">
        <x:v>Business Environment</x:v>
      </x:c>
      <x:c r="C149" s="20" t="str">
        <x:v>BE5</x:v>
      </x:c>
      <x:c r="D149" s="20" t="str">
        <x:v>07</x:v>
      </x:c>
      <x:c r="E149" s="20" t="str">
        <x:v>🔴 必考 Must Know</x:v>
      </x:c>
      <x:c r="F149" s="20" t="str">
        <x:v>All</x:v>
      </x:c>
      <x:c r="G149" s="29" t="str">
        <x:v>威胁减轻</x:v>
      </x:c>
      <x:c r="H149" s="29" t="str">
        <x:v>Mitigate Threat</x:v>
      </x:c>
      <x:c r="I149" s="29" t="str">
        <x:v>降低概率或影响</x:v>
      </x:c>
      <x:c r="J149" s="29" t="str">
        <x:v>响应后仍有残余风险</x:v>
      </x:c>
      <x:c r="K149" s="20" t="str">
        <x:v>Not Started 未学</x:v>
      </x:c>
      <x:c r="L149" s="23"/>
      <x:c r="M149" s="23"/>
      <x:c r="N149" s="20"/>
      <x:c r="O149" s="20" t="n">
        <x:v>0</x:v>
      </x:c>
      <x:c r="P149" s="20" t="n">
        <x:v>0</x:v>
      </x:c>
      <x:c r="Q149" s="26" t="str">
        <x:f>IF(O149=0,"",P149/O149)</x:f>
      </x:c>
    </x:row>
    <x:row r="150">
      <x:c r="A150" s="20" t="str">
        <x:v>KP-149</x:v>
      </x:c>
      <x:c r="B150" s="20" t="str">
        <x:v>Business Environment</x:v>
      </x:c>
      <x:c r="C150" s="20" t="str">
        <x:v>BE5</x:v>
      </x:c>
      <x:c r="D150" s="20" t="str">
        <x:v>07</x:v>
      </x:c>
      <x:c r="E150" s="20" t="str">
        <x:v>🔴 必考 Must Know</x:v>
      </x:c>
      <x:c r="F150" s="20" t="str">
        <x:v>All</x:v>
      </x:c>
      <x:c r="G150" s="29" t="str">
        <x:v>机会开拓</x:v>
      </x:c>
      <x:c r="H150" s="29" t="str">
        <x:v>Exploit Opportunity</x:v>
      </x:c>
      <x:c r="I150" s="29" t="str">
        <x:v>采取措施确保机会发生</x:v>
      </x:c>
      <x:c r="J150" s="29" t="str">
        <x:v>机会版的主动最强策略</x:v>
      </x:c>
      <x:c r="K150" s="20" t="str">
        <x:v>Not Started 未学</x:v>
      </x:c>
      <x:c r="L150" s="23"/>
      <x:c r="M150" s="23"/>
      <x:c r="N150" s="20"/>
      <x:c r="O150" s="20" t="n">
        <x:v>0</x:v>
      </x:c>
      <x:c r="P150" s="20" t="n">
        <x:v>0</x:v>
      </x:c>
      <x:c r="Q150" s="26" t="str">
        <x:f>IF(O150=0,"",P150/O150)</x:f>
      </x:c>
    </x:row>
    <x:row r="151">
      <x:c r="A151" s="20" t="str">
        <x:v>KP-150</x:v>
      </x:c>
      <x:c r="B151" s="20" t="str">
        <x:v>Business Environment</x:v>
      </x:c>
      <x:c r="C151" s="20" t="str">
        <x:v>BE5</x:v>
      </x:c>
      <x:c r="D151" s="20" t="str">
        <x:v>07</x:v>
      </x:c>
      <x:c r="E151" s="20" t="str">
        <x:v>🟠 高频 High Frequency</x:v>
      </x:c>
      <x:c r="F151" s="20" t="str">
        <x:v>All</x:v>
      </x:c>
      <x:c r="G151" s="29" t="str">
        <x:v>机会分享</x:v>
      </x:c>
      <x:c r="H151" s="29" t="str">
        <x:v>Share Opportunity</x:v>
      </x:c>
      <x:c r="I151" s="29" t="str">
        <x:v>与最能捕获机会的第三方合作</x:v>
      </x:c>
      <x:c r="J151" s="29" t="str">
        <x:v>不是简单告知</x:v>
      </x:c>
      <x:c r="K151" s="20" t="str">
        <x:v>Not Started 未学</x:v>
      </x:c>
      <x:c r="L151" s="23"/>
      <x:c r="M151" s="23"/>
      <x:c r="N151" s="20"/>
      <x:c r="O151" s="20" t="n">
        <x:v>0</x:v>
      </x:c>
      <x:c r="P151" s="20" t="n">
        <x:v>0</x:v>
      </x:c>
      <x:c r="Q151" s="26" t="str">
        <x:f>IF(O151=0,"",P151/O151)</x:f>
      </x:c>
    </x:row>
    <x:row r="152">
      <x:c r="A152" s="20" t="str">
        <x:v>KP-151</x:v>
      </x:c>
      <x:c r="B152" s="20" t="str">
        <x:v>Business Environment</x:v>
      </x:c>
      <x:c r="C152" s="20" t="str">
        <x:v>BE5</x:v>
      </x:c>
      <x:c r="D152" s="20" t="str">
        <x:v>07</x:v>
      </x:c>
      <x:c r="E152" s="20" t="str">
        <x:v>🔴 必考 Must Know</x:v>
      </x:c>
      <x:c r="F152" s="20" t="str">
        <x:v>All</x:v>
      </x:c>
      <x:c r="G152" s="29" t="str">
        <x:v>风险接受</x:v>
      </x:c>
      <x:c r="H152" s="29" t="str">
        <x:v>Accept Risk</x:v>
      </x:c>
      <x:c r="I152" s="29" t="str">
        <x:v>主动准备储备或被动观察</x:v>
      </x:c>
      <x:c r="J152" s="29" t="str">
        <x:v>接受不等于忽略</x:v>
      </x:c>
      <x:c r="K152" s="20" t="str">
        <x:v>Not Started 未学</x:v>
      </x:c>
      <x:c r="L152" s="23"/>
      <x:c r="M152" s="23"/>
      <x:c r="N152" s="20"/>
      <x:c r="O152" s="20" t="n">
        <x:v>0</x:v>
      </x:c>
      <x:c r="P152" s="20" t="n">
        <x:v>0</x:v>
      </x:c>
      <x:c r="Q152" s="26" t="str">
        <x:f>IF(O152=0,"",P152/O152)</x:f>
      </x:c>
    </x:row>
    <x:row r="153">
      <x:c r="A153" s="20" t="str">
        <x:v>KP-152</x:v>
      </x:c>
      <x:c r="B153" s="20" t="str">
        <x:v>Business Environment</x:v>
      </x:c>
      <x:c r="C153" s="20" t="str">
        <x:v>BE5</x:v>
      </x:c>
      <x:c r="D153" s="20" t="str">
        <x:v>07</x:v>
      </x:c>
      <x:c r="E153" s="20" t="str">
        <x:v>🟡 易错 Easy to Confuse</x:v>
      </x:c>
      <x:c r="F153" s="20" t="str">
        <x:v>All</x:v>
      </x:c>
      <x:c r="G153" s="29" t="str">
        <x:v>风险升级</x:v>
      </x:c>
      <x:c r="H153" s="29" t="str">
        <x:v>Escalate Risk</x:v>
      </x:c>
      <x:c r="I153" s="29" t="str">
        <x:v>超出项目范围/权限时移交适当层级</x:v>
      </x:c>
      <x:c r="J153" s="29" t="str">
        <x:v>升级后仍需跟踪接口</x:v>
      </x:c>
      <x:c r="K153" s="20" t="str">
        <x:v>Not Started 未学</x:v>
      </x:c>
      <x:c r="L153" s="23"/>
      <x:c r="M153" s="23"/>
      <x:c r="N153" s="20"/>
      <x:c r="O153" s="20" t="n">
        <x:v>0</x:v>
      </x:c>
      <x:c r="P153" s="20" t="n">
        <x:v>0</x:v>
      </x:c>
      <x:c r="Q153" s="26" t="str">
        <x:f>IF(O153=0,"",P153/O153)</x:f>
      </x:c>
    </x:row>
    <x:row r="154">
      <x:c r="A154" s="20" t="str">
        <x:v>KP-153</x:v>
      </x:c>
      <x:c r="B154" s="20" t="str">
        <x:v>Business Environment</x:v>
      </x:c>
      <x:c r="C154" s="20" t="str">
        <x:v>BE5</x:v>
      </x:c>
      <x:c r="D154" s="20" t="str">
        <x:v>07</x:v>
      </x:c>
      <x:c r="E154" s="20" t="str">
        <x:v>🟡 易错 Easy to Confuse</x:v>
      </x:c>
      <x:c r="F154" s="20" t="str">
        <x:v>All</x:v>
      </x:c>
      <x:c r="G154" s="29" t="str">
        <x:v>次生风险</x:v>
      </x:c>
      <x:c r="H154" s="29" t="str">
        <x:v>Secondary Risk</x:v>
      </x:c>
      <x:c r="I154" s="29" t="str">
        <x:v>因风险响应而产生的新风险</x:v>
      </x:c>
      <x:c r="J154" s="29" t="str">
        <x:v>与残余风险易混</x:v>
      </x:c>
      <x:c r="K154" s="20" t="str">
        <x:v>Not Started 未学</x:v>
      </x:c>
      <x:c r="L154" s="23"/>
      <x:c r="M154" s="23"/>
      <x:c r="N154" s="20"/>
      <x:c r="O154" s="20" t="n">
        <x:v>0</x:v>
      </x:c>
      <x:c r="P154" s="20" t="n">
        <x:v>0</x:v>
      </x:c>
      <x:c r="Q154" s="26" t="str">
        <x:f>IF(O154=0,"",P154/O154)</x:f>
      </x:c>
    </x:row>
    <x:row r="155">
      <x:c r="A155" s="20" t="str">
        <x:v>KP-154</x:v>
      </x:c>
      <x:c r="B155" s="20" t="str">
        <x:v>Business Environment</x:v>
      </x:c>
      <x:c r="C155" s="20" t="str">
        <x:v>BE5</x:v>
      </x:c>
      <x:c r="D155" s="20" t="str">
        <x:v>07</x:v>
      </x:c>
      <x:c r="E155" s="20" t="str">
        <x:v>🟡 易错 Easy to Confuse</x:v>
      </x:c>
      <x:c r="F155" s="20" t="str">
        <x:v>All</x:v>
      </x:c>
      <x:c r="G155" s="29" t="str">
        <x:v>残余风险</x:v>
      </x:c>
      <x:c r="H155" s="29" t="str">
        <x:v>Residual Risk</x:v>
      </x:c>
      <x:c r="I155" s="29" t="str">
        <x:v>响应后仍剩余的风险</x:v>
      </x:c>
      <x:c r="J155" s="29" t="str">
        <x:v>需监控并可能准备回退</x:v>
      </x:c>
      <x:c r="K155" s="20" t="str">
        <x:v>Not Started 未学</x:v>
      </x:c>
      <x:c r="L155" s="23"/>
      <x:c r="M155" s="23"/>
      <x:c r="N155" s="20"/>
      <x:c r="O155" s="20" t="n">
        <x:v>0</x:v>
      </x:c>
      <x:c r="P155" s="20" t="n">
        <x:v>0</x:v>
      </x:c>
      <x:c r="Q155" s="26" t="str">
        <x:f>IF(O155=0,"",P155/O155)</x:f>
      </x:c>
    </x:row>
    <x:row r="156">
      <x:c r="A156" s="20" t="str">
        <x:v>KP-155</x:v>
      </x:c>
      <x:c r="B156" s="20" t="str">
        <x:v>Business Environment</x:v>
      </x:c>
      <x:c r="C156" s="20" t="str">
        <x:v>BE5</x:v>
      </x:c>
      <x:c r="D156" s="20" t="str">
        <x:v>07</x:v>
      </x:c>
      <x:c r="E156" s="20" t="str">
        <x:v>🟡 易错 Easy to Confuse</x:v>
      </x:c>
      <x:c r="F156" s="20" t="str">
        <x:v>All</x:v>
      </x:c>
      <x:c r="G156" s="29" t="str">
        <x:v>应急计划</x:v>
      </x:c>
      <x:c r="H156" s="29" t="str">
        <x:v>Contingency Plan</x:v>
      </x:c>
      <x:c r="I156" s="29" t="str">
        <x:v>触发条件发生时执行的计划</x:v>
      </x:c>
      <x:c r="J156" s="29" t="str">
        <x:v>未触发前不随意执行</x:v>
      </x:c>
      <x:c r="K156" s="20" t="str">
        <x:v>Not Started 未学</x:v>
      </x:c>
      <x:c r="L156" s="23"/>
      <x:c r="M156" s="23"/>
      <x:c r="N156" s="20"/>
      <x:c r="O156" s="20" t="n">
        <x:v>0</x:v>
      </x:c>
      <x:c r="P156" s="20" t="n">
        <x:v>0</x:v>
      </x:c>
      <x:c r="Q156" s="26" t="str">
        <x:f>IF(O156=0,"",P156/O156)</x:f>
      </x:c>
    </x:row>
    <x:row r="157">
      <x:c r="A157" s="20" t="str">
        <x:v>KP-156</x:v>
      </x:c>
      <x:c r="B157" s="20" t="str">
        <x:v>Business Environment</x:v>
      </x:c>
      <x:c r="C157" s="20" t="str">
        <x:v>BE6</x:v>
      </x:c>
      <x:c r="D157" s="20" t="str">
        <x:v>07</x:v>
      </x:c>
      <x:c r="E157" s="20" t="str">
        <x:v>🔴 必考 Must Know</x:v>
      </x:c>
      <x:c r="F157" s="20" t="str">
        <x:v>All</x:v>
      </x:c>
      <x:c r="G157" s="29" t="str">
        <x:v>回顾会议</x:v>
      </x:c>
      <x:c r="H157" s="29" t="str">
        <x:v>Retrospective</x:v>
      </x:c>
      <x:c r="I157" s="29" t="str">
        <x:v>周期性检查团队过程并形成可执行改进</x:v>
      </x:c>
      <x:c r="J157" s="29" t="str">
        <x:v>不是追责会</x:v>
      </x:c>
      <x:c r="K157" s="20" t="str">
        <x:v>Not Started 未学</x:v>
      </x:c>
      <x:c r="L157" s="23"/>
      <x:c r="M157" s="23"/>
      <x:c r="N157" s="20"/>
      <x:c r="O157" s="20" t="n">
        <x:v>0</x:v>
      </x:c>
      <x:c r="P157" s="20" t="n">
        <x:v>0</x:v>
      </x:c>
      <x:c r="Q157" s="26" t="str">
        <x:f>IF(O157=0,"",P157/O157)</x:f>
      </x:c>
    </x:row>
    <x:row r="158">
      <x:c r="A158" s="20" t="str">
        <x:v>KP-157</x:v>
      </x:c>
      <x:c r="B158" s="20" t="str">
        <x:v>Business Environment</x:v>
      </x:c>
      <x:c r="C158" s="20" t="str">
        <x:v>BE6</x:v>
      </x:c>
      <x:c r="D158" s="20" t="str">
        <x:v>07</x:v>
      </x:c>
      <x:c r="E158" s="20" t="str">
        <x:v>🟠 高频 High Frequency</x:v>
      </x:c>
      <x:c r="F158" s="20" t="str">
        <x:v>All</x:v>
      </x:c>
      <x:c r="G158" s="29" t="str">
        <x:v>根因分析</x:v>
      </x:c>
      <x:c r="H158" s="29" t="str">
        <x:v>Root Cause Analysis</x:v>
      </x:c>
      <x:c r="I158" s="29" t="str">
        <x:v>寻找系统性原因并验证</x:v>
      </x:c>
      <x:c r="J158" s="29" t="str">
        <x:v>第一表象不一定是根因</x:v>
      </x:c>
      <x:c r="K158" s="20" t="str">
        <x:v>Not Started 未学</x:v>
      </x:c>
      <x:c r="L158" s="23"/>
      <x:c r="M158" s="23"/>
      <x:c r="N158" s="20"/>
      <x:c r="O158" s="20" t="n">
        <x:v>0</x:v>
      </x:c>
      <x:c r="P158" s="20" t="n">
        <x:v>0</x:v>
      </x:c>
      <x:c r="Q158" s="26" t="str">
        <x:f>IF(O158=0,"",P158/O158)</x:f>
      </x:c>
    </x:row>
    <x:row r="159">
      <x:c r="A159" s="20" t="str">
        <x:v>KP-158</x:v>
      </x:c>
      <x:c r="B159" s="20" t="str">
        <x:v>Business Environment</x:v>
      </x:c>
      <x:c r="C159" s="20" t="str">
        <x:v>BE6</x:v>
      </x:c>
      <x:c r="D159" s="20" t="str">
        <x:v>07</x:v>
      </x:c>
      <x:c r="E159" s="20" t="str">
        <x:v>🟠 高频 High Frequency</x:v>
      </x:c>
      <x:c r="F159" s="20" t="str">
        <x:v>All</x:v>
      </x:c>
      <x:c r="G159" s="29" t="str">
        <x:v>组织过程资产更新</x:v>
      </x:c>
      <x:c r="H159" s="29" t="str">
        <x:v>OPA Updates</x:v>
      </x:c>
      <x:c r="I159" s="29" t="str">
        <x:v>将验证有效的经验沉淀供未来使用</x:v>
      </x:c>
      <x:c r="J159" s="29" t="str">
        <x:v>敏感信息需脱敏</x:v>
      </x:c>
      <x:c r="K159" s="20" t="str">
        <x:v>Not Started 未学</x:v>
      </x:c>
      <x:c r="L159" s="23"/>
      <x:c r="M159" s="23"/>
      <x:c r="N159" s="20"/>
      <x:c r="O159" s="20" t="n">
        <x:v>0</x:v>
      </x:c>
      <x:c r="P159" s="20" t="n">
        <x:v>0</x:v>
      </x:c>
      <x:c r="Q159" s="26" t="str">
        <x:f>IF(O159=0,"",P159/O159)</x:f>
      </x:c>
    </x:row>
    <x:row r="160">
      <x:c r="A160" s="20" t="str">
        <x:v>KP-159</x:v>
      </x:c>
      <x:c r="B160" s="20" t="str">
        <x:v>Business Environment</x:v>
      </x:c>
      <x:c r="C160" s="20" t="str">
        <x:v>BE7</x:v>
      </x:c>
      <x:c r="D160" s="20" t="str">
        <x:v>06</x:v>
      </x:c>
      <x:c r="E160" s="20" t="str">
        <x:v>🔴 必考 Must Know</x:v>
      </x:c>
      <x:c r="F160" s="20" t="str">
        <x:v>All</x:v>
      </x:c>
      <x:c r="G160" s="29" t="str">
        <x:v>组织文化评估</x:v>
      </x:c>
      <x:c r="H160" s="29" t="str">
        <x:v>Organizational Culture Assessment</x:v>
      </x:c>
      <x:c r="I160" s="29" t="str">
        <x:v>理解价值观、权力结构和变革准备度</x:v>
      </x:c>
      <x:c r="J160" s="29" t="str">
        <x:v>同一方法不适合所有组织</x:v>
      </x:c>
      <x:c r="K160" s="20" t="str">
        <x:v>Not Started 未学</x:v>
      </x:c>
      <x:c r="L160" s="23"/>
      <x:c r="M160" s="23"/>
      <x:c r="N160" s="20"/>
      <x:c r="O160" s="20" t="n">
        <x:v>0</x:v>
      </x:c>
      <x:c r="P160" s="20" t="n">
        <x:v>0</x:v>
      </x:c>
      <x:c r="Q160" s="26" t="str">
        <x:f>IF(O160=0,"",P160/O160)</x:f>
      </x:c>
    </x:row>
    <x:row r="161">
      <x:c r="A161" s="20" t="str">
        <x:v>KP-160</x:v>
      </x:c>
      <x:c r="B161" s="20" t="str">
        <x:v>Business Environment</x:v>
      </x:c>
      <x:c r="C161" s="20" t="str">
        <x:v>BE7</x:v>
      </x:c>
      <x:c r="D161" s="20" t="str">
        <x:v>06</x:v>
      </x:c>
      <x:c r="E161" s="20" t="str">
        <x:v>🟠 高频 High Frequency</x:v>
      </x:c>
      <x:c r="F161" s="20" t="str">
        <x:v>All</x:v>
      </x:c>
      <x:c r="G161" s="29" t="str">
        <x:v>变革影响评估</x:v>
      </x:c>
      <x:c r="H161" s="29" t="str">
        <x:v>Change Impact Assessment</x:v>
      </x:c>
      <x:c r="I161" s="29" t="str">
        <x:v>识别受影响角色、流程、能力和行为</x:v>
      </x:c>
      <x:c r="J161" s="29" t="str">
        <x:v>上线培训不等于组织变革完成</x:v>
      </x:c>
      <x:c r="K161" s="20" t="str">
        <x:v>Not Started 未学</x:v>
      </x:c>
      <x:c r="L161" s="23"/>
      <x:c r="M161" s="23"/>
      <x:c r="N161" s="20"/>
      <x:c r="O161" s="20" t="n">
        <x:v>0</x:v>
      </x:c>
      <x:c r="P161" s="20" t="n">
        <x:v>0</x:v>
      </x:c>
      <x:c r="Q161" s="26" t="str">
        <x:f>IF(O161=0,"",P161/O161)</x:f>
      </x:c>
    </x:row>
    <x:row r="162">
      <x:c r="A162" s="20" t="str">
        <x:v>KP-161</x:v>
      </x:c>
      <x:c r="B162" s="20" t="str">
        <x:v>Business Environment</x:v>
      </x:c>
      <x:c r="C162" s="20" t="str">
        <x:v>BE7</x:v>
      </x:c>
      <x:c r="D162" s="20" t="str">
        <x:v>06</x:v>
      </x:c>
      <x:c r="E162" s="20" t="str">
        <x:v>🟠 高频 High Frequency</x:v>
      </x:c>
      <x:c r="F162" s="20" t="str">
        <x:v>All</x:v>
      </x:c>
      <x:c r="G162" s="29" t="str">
        <x:v>变革采用</x:v>
      </x:c>
      <x:c r="H162" s="29" t="str">
        <x:v>Change Adoption</x:v>
      </x:c>
      <x:c r="I162" s="29" t="str">
        <x:v>通过参与、沟通、培训、支持和度量促进采用</x:v>
      </x:c>
      <x:c r="J162" s="29" t="str">
        <x:v>强制发布不能保证使用</x:v>
      </x:c>
      <x:c r="K162" s="20" t="str">
        <x:v>Not Started 未学</x:v>
      </x:c>
      <x:c r="L162" s="23"/>
      <x:c r="M162" s="23"/>
      <x:c r="N162" s="20"/>
      <x:c r="O162" s="20" t="n">
        <x:v>0</x:v>
      </x:c>
      <x:c r="P162" s="20" t="n">
        <x:v>0</x:v>
      </x:c>
      <x:c r="Q162" s="26" t="str">
        <x:f>IF(O162=0,"",P162/O162)</x:f>
      </x:c>
    </x:row>
    <x:row r="163">
      <x:c r="A163" s="20" t="str">
        <x:v>KP-162</x:v>
      </x:c>
      <x:c r="B163" s="20" t="str">
        <x:v>Business Environment</x:v>
      </x:c>
      <x:c r="C163" s="20" t="str">
        <x:v>BE8</x:v>
      </x:c>
      <x:c r="D163" s="20" t="str">
        <x:v>06</x:v>
      </x:c>
      <x:c r="E163" s="20" t="str">
        <x:v>🔴 必考 Must Know</x:v>
      </x:c>
      <x:c r="F163" s="20" t="str">
        <x:v>All</x:v>
      </x:c>
      <x:c r="G163" s="29" t="str">
        <x:v>外部商业环境</x:v>
      </x:c>
      <x:c r="H163" s="29" t="str">
        <x:v>External Business Environment</x:v>
      </x:c>
      <x:c r="I163" s="29" t="str">
        <x:v>持续扫描监管、技术、市场和地缘变化</x:v>
      </x:c>
      <x:c r="J163" s="29" t="str">
        <x:v>外部变化也可能带来机会</x:v>
      </x:c>
      <x:c r="K163" s="20" t="str">
        <x:v>Not Started 未学</x:v>
      </x:c>
      <x:c r="L163" s="23"/>
      <x:c r="M163" s="23"/>
      <x:c r="N163" s="20"/>
      <x:c r="O163" s="20" t="n">
        <x:v>0</x:v>
      </x:c>
      <x:c r="P163" s="20" t="n">
        <x:v>0</x:v>
      </x:c>
      <x:c r="Q163" s="26" t="str">
        <x:f>IF(O163=0,"",P163/O163)</x:f>
      </x:c>
    </x:row>
    <x:row r="164">
      <x:c r="A164" s="20" t="str">
        <x:v>KP-163</x:v>
      </x:c>
      <x:c r="B164" s="20" t="str">
        <x:v>Business Environment</x:v>
      </x:c>
      <x:c r="C164" s="20" t="str">
        <x:v>BE8</x:v>
      </x:c>
      <x:c r="D164" s="20" t="str">
        <x:v>06</x:v>
      </x:c>
      <x:c r="E164" s="20" t="str">
        <x:v>🔴 必考 Must Know</x:v>
      </x:c>
      <x:c r="F164" s="20" t="str">
        <x:v>All</x:v>
      </x:c>
      <x:c r="G164" s="29" t="str">
        <x:v>战略一致性</x:v>
      </x:c>
      <x:c r="H164" s="29" t="str">
        <x:v>Strategic Alignment</x:v>
      </x:c>
      <x:c r="I164" s="29" t="str">
        <x:v>重新确认项目继续支持组织目标和价值</x:v>
      </x:c>
      <x:c r="J164" s="29" t="str">
        <x:v>沉没成本不应成为继续理由</x:v>
      </x:c>
      <x:c r="K164" s="20" t="str">
        <x:v>Not Started 未学</x:v>
      </x:c>
      <x:c r="L164" s="23"/>
      <x:c r="M164" s="23"/>
      <x:c r="N164" s="20"/>
      <x:c r="O164" s="20" t="n">
        <x:v>0</x:v>
      </x:c>
      <x:c r="P164" s="20" t="n">
        <x:v>0</x:v>
      </x:c>
      <x:c r="Q164" s="26" t="str">
        <x:f>IF(O164=0,"",P164/O164)</x:f>
      </x:c>
    </x:row>
    <x:row r="165">
      <x:c r="A165" s="20" t="str">
        <x:v>KP-164</x:v>
      </x:c>
      <x:c r="B165" s="20" t="str">
        <x:v>Business Environment</x:v>
      </x:c>
      <x:c r="C165" s="20" t="str">
        <x:v>BE8</x:v>
      </x:c>
      <x:c r="D165" s="20" t="str">
        <x:v>06</x:v>
      </x:c>
      <x:c r="E165" s="20" t="str">
        <x:v>🟠 高频 High Frequency</x:v>
      </x:c>
      <x:c r="F165" s="20" t="str">
        <x:v>All</x:v>
      </x:c>
      <x:c r="G165" s="29" t="str">
        <x:v>范围/Backlog 重排</x:v>
      </x:c>
      <x:c r="H165" s="29" t="str">
        <x:v>Reprioritize Scope / Backlog</x:v>
      </x:c>
      <x:c r="I165" s="29" t="str">
        <x:v>根据外部变化评估影响并调整优先级</x:v>
      </x:c>
      <x:c r="J165" s="29" t="str">
        <x:v>预测型需遵循变更治理</x:v>
      </x:c>
      <x:c r="K165" s="20" t="str">
        <x:v>Not Started 未学</x:v>
      </x:c>
      <x:c r="L165" s="23"/>
      <x:c r="M165" s="23"/>
      <x:c r="N165" s="20"/>
      <x:c r="O165" s="20" t="n">
        <x:v>0</x:v>
      </x:c>
      <x:c r="P165" s="20" t="n">
        <x:v>0</x:v>
      </x:c>
      <x:c r="Q165" s="26" t="str">
        <x:f>IF(O165=0,"",P165/O165)</x:f>
      </x:c>
    </x:row>
    <x:row r="166">
      <x:c r="A166" s="20" t="str">
        <x:v>KP-165</x:v>
      </x:c>
      <x:c r="B166" s="20" t="str">
        <x:v>Agile</x:v>
      </x:c>
      <x:c r="C166" s="20" t="str">
        <x:v>Cross-cutting</x:v>
      </x:c>
      <x:c r="D166" s="20" t="str">
        <x:v>08</x:v>
      </x:c>
      <x:c r="E166" s="20" t="str">
        <x:v>🔴 必考 Must Know</x:v>
      </x:c>
      <x:c r="F166" s="20" t="str">
        <x:v>Agile</x:v>
      </x:c>
      <x:c r="G166" s="29" t="str">
        <x:v>产品负责人</x:v>
      </x:c>
      <x:c r="H166" s="29" t="str">
        <x:v>Product Owner (PO)</x:v>
      </x:c>
      <x:c r="I166" s="29" t="str">
        <x:v>最大化产品价值并排序 Product Backlog</x:v>
      </x:c>
      <x:c r="J166" s="29" t="str">
        <x:v>PO 不是团队主管，也不由 PM 替代排序</x:v>
      </x:c>
      <x:c r="K166" s="20" t="str">
        <x:v>Not Started 未学</x:v>
      </x:c>
      <x:c r="L166" s="23"/>
      <x:c r="M166" s="23"/>
      <x:c r="N166" s="20"/>
      <x:c r="O166" s="20" t="n">
        <x:v>0</x:v>
      </x:c>
      <x:c r="P166" s="20" t="n">
        <x:v>0</x:v>
      </x:c>
      <x:c r="Q166" s="26" t="str">
        <x:f>IF(O166=0,"",P166/O166)</x:f>
      </x:c>
    </x:row>
    <x:row r="167">
      <x:c r="A167" s="20" t="str">
        <x:v>KP-166</x:v>
      </x:c>
      <x:c r="B167" s="20" t="str">
        <x:v>Agile</x:v>
      </x:c>
      <x:c r="C167" s="20" t="str">
        <x:v>Cross-cutting</x:v>
      </x:c>
      <x:c r="D167" s="20" t="str">
        <x:v>08</x:v>
      </x:c>
      <x:c r="E167" s="20" t="str">
        <x:v>🔴 必考 Must Know</x:v>
      </x:c>
      <x:c r="F167" s="20" t="str">
        <x:v>Agile</x:v>
      </x:c>
      <x:c r="G167" s="29" t="str">
        <x:v>Scrum Master</x:v>
      </x:c>
      <x:c r="H167" s="29" t="str">
        <x:v>Scrum Master</x:v>
      </x:c>
      <x:c r="I167" s="29" t="str">
        <x:v>促进 Scrum、辅导团队、移除障碍</x:v>
      </x:c>
      <x:c r="J167" s="29" t="str">
        <x:v>不是项目秘书或任务分配者</x:v>
      </x:c>
      <x:c r="K167" s="20" t="str">
        <x:v>Not Started 未学</x:v>
      </x:c>
      <x:c r="L167" s="23"/>
      <x:c r="M167" s="23"/>
      <x:c r="N167" s="20"/>
      <x:c r="O167" s="20" t="n">
        <x:v>0</x:v>
      </x:c>
      <x:c r="P167" s="20" t="n">
        <x:v>0</x:v>
      </x:c>
      <x:c r="Q167" s="26" t="str">
        <x:f>IF(O167=0,"",P167/O167)</x:f>
      </x:c>
    </x:row>
    <x:row r="168">
      <x:c r="A168" s="20" t="str">
        <x:v>KP-167</x:v>
      </x:c>
      <x:c r="B168" s="20" t="str">
        <x:v>Agile</x:v>
      </x:c>
      <x:c r="C168" s="20" t="str">
        <x:v>Cross-cutting</x:v>
      </x:c>
      <x:c r="D168" s="20" t="str">
        <x:v>08</x:v>
      </x:c>
      <x:c r="E168" s="20" t="str">
        <x:v>🔴 必考 Must Know</x:v>
      </x:c>
      <x:c r="F168" s="20" t="str">
        <x:v>Agile</x:v>
      </x:c>
      <x:c r="G168" s="29" t="str">
        <x:v>开发人员</x:v>
      </x:c>
      <x:c r="H168" s="29" t="str">
        <x:v>Developers</x:v>
      </x:c>
      <x:c r="I168" s="29" t="str">
        <x:v>跨职能、自管理地创建可用增量</x:v>
      </x:c>
      <x:c r="J168" s="29" t="str">
        <x:v>不只指程序员</x:v>
      </x:c>
      <x:c r="K168" s="20" t="str">
        <x:v>Not Started 未学</x:v>
      </x:c>
      <x:c r="L168" s="23"/>
      <x:c r="M168" s="23"/>
      <x:c r="N168" s="20"/>
      <x:c r="O168" s="20" t="n">
        <x:v>0</x:v>
      </x:c>
      <x:c r="P168" s="20" t="n">
        <x:v>0</x:v>
      </x:c>
      <x:c r="Q168" s="26" t="str">
        <x:f>IF(O168=0,"",P168/O168)</x:f>
      </x:c>
    </x:row>
    <x:row r="169">
      <x:c r="A169" s="20" t="str">
        <x:v>KP-168</x:v>
      </x:c>
      <x:c r="B169" s="20" t="str">
        <x:v>Agile</x:v>
      </x:c>
      <x:c r="C169" s="20" t="str">
        <x:v>Cross-cutting</x:v>
      </x:c>
      <x:c r="D169" s="20" t="str">
        <x:v>08</x:v>
      </x:c>
      <x:c r="E169" s="20" t="str">
        <x:v>🔴 必考 Must Know</x:v>
      </x:c>
      <x:c r="F169" s="20" t="str">
        <x:v>Agile</x:v>
      </x:c>
      <x:c r="G169" s="29" t="str">
        <x:v>产品待办事项列表</x:v>
      </x:c>
      <x:c r="H169" s="29" t="str">
        <x:v>Product Backlog</x:v>
      </x:c>
      <x:c r="I169" s="29" t="str">
        <x:v>有序、动态的产品工作唯一来源</x:v>
      </x:c>
      <x:c r="J169" s="29" t="str">
        <x:v>不是固定范围基准</x:v>
      </x:c>
      <x:c r="K169" s="20" t="str">
        <x:v>Not Started 未学</x:v>
      </x:c>
      <x:c r="L169" s="23"/>
      <x:c r="M169" s="23"/>
      <x:c r="N169" s="20"/>
      <x:c r="O169" s="20" t="n">
        <x:v>0</x:v>
      </x:c>
      <x:c r="P169" s="20" t="n">
        <x:v>0</x:v>
      </x:c>
      <x:c r="Q169" s="26" t="str">
        <x:f>IF(O169=0,"",P169/O169)</x:f>
      </x:c>
    </x:row>
    <x:row r="170">
      <x:c r="A170" s="20" t="str">
        <x:v>KP-169</x:v>
      </x:c>
      <x:c r="B170" s="20" t="str">
        <x:v>Agile</x:v>
      </x:c>
      <x:c r="C170" s="20" t="str">
        <x:v>Cross-cutting</x:v>
      </x:c>
      <x:c r="D170" s="20" t="str">
        <x:v>08</x:v>
      </x:c>
      <x:c r="E170" s="20" t="str">
        <x:v>🔴 必考 Must Know</x:v>
      </x:c>
      <x:c r="F170" s="20" t="str">
        <x:v>Agile</x:v>
      </x:c>
      <x:c r="G170" s="29" t="str">
        <x:v>Sprint 待办事项列表</x:v>
      </x:c>
      <x:c r="H170" s="29" t="str">
        <x:v>Sprint Backlog</x:v>
      </x:c>
      <x:c r="I170" s="29" t="str">
        <x:v>Sprint Goal、选入条目与交付计划</x:v>
      </x:c>
      <x:c r="J170" s="29" t="str">
        <x:v>由 Developers 管理</x:v>
      </x:c>
      <x:c r="K170" s="20" t="str">
        <x:v>Not Started 未学</x:v>
      </x:c>
      <x:c r="L170" s="23"/>
      <x:c r="M170" s="23"/>
      <x:c r="N170" s="20"/>
      <x:c r="O170" s="20" t="n">
        <x:v>0</x:v>
      </x:c>
      <x:c r="P170" s="20" t="n">
        <x:v>0</x:v>
      </x:c>
      <x:c r="Q170" s="26" t="str">
        <x:f>IF(O170=0,"",P170/O170)</x:f>
      </x:c>
    </x:row>
    <x:row r="171">
      <x:c r="A171" s="20" t="str">
        <x:v>KP-170</x:v>
      </x:c>
      <x:c r="B171" s="20" t="str">
        <x:v>Agile</x:v>
      </x:c>
      <x:c r="C171" s="20" t="str">
        <x:v>Cross-cutting</x:v>
      </x:c>
      <x:c r="D171" s="20" t="str">
        <x:v>08</x:v>
      </x:c>
      <x:c r="E171" s="20" t="str">
        <x:v>🔴 必考 Must Know</x:v>
      </x:c>
      <x:c r="F171" s="20" t="str">
        <x:v>Agile</x:v>
      </x:c>
      <x:c r="G171" s="29" t="str">
        <x:v>产品增量</x:v>
      </x:c>
      <x:c r="H171" s="29" t="str">
        <x:v>Increment</x:v>
      </x:c>
      <x:c r="I171" s="29" t="str">
        <x:v>满足 DoD、可用并累积价值的成果</x:v>
      </x:c>
      <x:c r="J171" s="29" t="str">
        <x:v>不必等 Sprint Review 才能发布</x:v>
      </x:c>
      <x:c r="K171" s="20" t="str">
        <x:v>Not Started 未学</x:v>
      </x:c>
      <x:c r="L171" s="23"/>
      <x:c r="M171" s="23"/>
      <x:c r="N171" s="20"/>
      <x:c r="O171" s="20" t="n">
        <x:v>0</x:v>
      </x:c>
      <x:c r="P171" s="20" t="n">
        <x:v>0</x:v>
      </x:c>
      <x:c r="Q171" s="26" t="str">
        <x:f>IF(O171=0,"",P171/O171)</x:f>
      </x:c>
    </x:row>
    <x:row r="172">
      <x:c r="A172" s="20" t="str">
        <x:v>KP-171</x:v>
      </x:c>
      <x:c r="B172" s="20" t="str">
        <x:v>Agile</x:v>
      </x:c>
      <x:c r="C172" s="20" t="str">
        <x:v>Cross-cutting</x:v>
      </x:c>
      <x:c r="D172" s="20" t="str">
        <x:v>08</x:v>
      </x:c>
      <x:c r="E172" s="20" t="str">
        <x:v>🟡 易错 Easy to Confuse</x:v>
      </x:c>
      <x:c r="F172" s="20" t="str">
        <x:v>Agile</x:v>
      </x:c>
      <x:c r="G172" s="29" t="str">
        <x:v>完成定义</x:v>
      </x:c>
      <x:c r="H172" s="29" t="str">
        <x:v>Definition of Done (DoD)</x:v>
      </x:c>
      <x:c r="I172" s="29" t="str">
        <x:v>所有增量共同的质量透明标准</x:v>
      </x:c>
      <x:c r="J172" s="29" t="str">
        <x:v>与单条 Story 的 Acceptance Criteria 易混</x:v>
      </x:c>
      <x:c r="K172" s="20" t="str">
        <x:v>Not Started 未学</x:v>
      </x:c>
      <x:c r="L172" s="23"/>
      <x:c r="M172" s="23"/>
      <x:c r="N172" s="20"/>
      <x:c r="O172" s="20" t="n">
        <x:v>0</x:v>
      </x:c>
      <x:c r="P172" s="20" t="n">
        <x:v>0</x:v>
      </x:c>
      <x:c r="Q172" s="26" t="str">
        <x:f>IF(O172=0,"",P172/O172)</x:f>
      </x:c>
    </x:row>
    <x:row r="173">
      <x:c r="A173" s="20" t="str">
        <x:v>KP-172</x:v>
      </x:c>
      <x:c r="B173" s="20" t="str">
        <x:v>Agile</x:v>
      </x:c>
      <x:c r="C173" s="20" t="str">
        <x:v>Cross-cutting</x:v>
      </x:c>
      <x:c r="D173" s="20" t="str">
        <x:v>08</x:v>
      </x:c>
      <x:c r="E173" s="20" t="str">
        <x:v>🟡 易错 Easy to Confuse</x:v>
      </x:c>
      <x:c r="F173" s="20" t="str">
        <x:v>Agile</x:v>
      </x:c>
      <x:c r="G173" s="29" t="str">
        <x:v>验收标准</x:v>
      </x:c>
      <x:c r="H173" s="29" t="str">
        <x:v>Acceptance Criteria</x:v>
      </x:c>
      <x:c r="I173" s="29" t="str">
        <x:v>特定 Backlog Item 的可接受条件</x:v>
      </x:c>
      <x:c r="J173" s="29" t="str">
        <x:v>不能替代 DoD</x:v>
      </x:c>
      <x:c r="K173" s="20" t="str">
        <x:v>Not Started 未学</x:v>
      </x:c>
      <x:c r="L173" s="23"/>
      <x:c r="M173" s="23"/>
      <x:c r="N173" s="20"/>
      <x:c r="O173" s="20" t="n">
        <x:v>0</x:v>
      </x:c>
      <x:c r="P173" s="20" t="n">
        <x:v>0</x:v>
      </x:c>
      <x:c r="Q173" s="26" t="str">
        <x:f>IF(O173=0,"",P173/O173)</x:f>
      </x:c>
    </x:row>
    <x:row r="174">
      <x:c r="A174" s="20" t="str">
        <x:v>KP-173</x:v>
      </x:c>
      <x:c r="B174" s="20" t="str">
        <x:v>Agile</x:v>
      </x:c>
      <x:c r="C174" s="20" t="str">
        <x:v>Cross-cutting</x:v>
      </x:c>
      <x:c r="D174" s="20" t="str">
        <x:v>08</x:v>
      </x:c>
      <x:c r="E174" s="20" t="str">
        <x:v>🟠 高频 High Frequency</x:v>
      </x:c>
      <x:c r="F174" s="20" t="str">
        <x:v>Agile</x:v>
      </x:c>
      <x:c r="G174" s="29" t="str">
        <x:v>用户故事</x:v>
      </x:c>
      <x:c r="H174" s="29" t="str">
        <x:v>User Story</x:v>
      </x:c>
      <x:c r="I174" s="29" t="str">
        <x:v>从用户价值表达需求并通过对话细化</x:v>
      </x:c>
      <x:c r="J174" s="29" t="str">
        <x:v>模板不是完整需求合同</x:v>
      </x:c>
      <x:c r="K174" s="20" t="str">
        <x:v>Not Started 未学</x:v>
      </x:c>
      <x:c r="L174" s="23"/>
      <x:c r="M174" s="23"/>
      <x:c r="N174" s="20"/>
      <x:c r="O174" s="20" t="n">
        <x:v>0</x:v>
      </x:c>
      <x:c r="P174" s="20" t="n">
        <x:v>0</x:v>
      </x:c>
      <x:c r="Q174" s="26" t="str">
        <x:f>IF(O174=0,"",P174/O174)</x:f>
      </x:c>
    </x:row>
    <x:row r="175">
      <x:c r="A175" s="20" t="str">
        <x:v>KP-174</x:v>
      </x:c>
      <x:c r="B175" s="20" t="str">
        <x:v>Agile</x:v>
      </x:c>
      <x:c r="C175" s="20" t="str">
        <x:v>Cross-cutting</x:v>
      </x:c>
      <x:c r="D175" s="20" t="str">
        <x:v>08</x:v>
      </x:c>
      <x:c r="E175" s="20" t="str">
        <x:v>🔴 必考 Must Know</x:v>
      </x:c>
      <x:c r="F175" s="20" t="str">
        <x:v>Agile</x:v>
      </x:c>
      <x:c r="G175" s="29" t="str">
        <x:v>Sprint Planning</x:v>
      </x:c>
      <x:c r="H175" s="29" t="str">
        <x:v>Sprint Planning</x:v>
      </x:c>
      <x:c r="I175" s="29" t="str">
        <x:v>确定为什么、做什么、如何做</x:v>
      </x:c>
      <x:c r="J175" s="29" t="str">
        <x:v>不是 PO 单方面分派</x:v>
      </x:c>
      <x:c r="K175" s="20" t="str">
        <x:v>Not Started 未学</x:v>
      </x:c>
      <x:c r="L175" s="23"/>
      <x:c r="M175" s="23"/>
      <x:c r="N175" s="20"/>
      <x:c r="O175" s="20" t="n">
        <x:v>0</x:v>
      </x:c>
      <x:c r="P175" s="20" t="n">
        <x:v>0</x:v>
      </x:c>
      <x:c r="Q175" s="26" t="str">
        <x:f>IF(O175=0,"",P175/O175)</x:f>
      </x:c>
    </x:row>
    <x:row r="176">
      <x:c r="A176" s="20" t="str">
        <x:v>KP-175</x:v>
      </x:c>
      <x:c r="B176" s="20" t="str">
        <x:v>Agile</x:v>
      </x:c>
      <x:c r="C176" s="20" t="str">
        <x:v>Cross-cutting</x:v>
      </x:c>
      <x:c r="D176" s="20" t="str">
        <x:v>08</x:v>
      </x:c>
      <x:c r="E176" s="20" t="str">
        <x:v>🟠 高频 High Frequency</x:v>
      </x:c>
      <x:c r="F176" s="20" t="str">
        <x:v>Agile</x:v>
      </x:c>
      <x:c r="G176" s="29" t="str">
        <x:v>Daily Scrum</x:v>
      </x:c>
      <x:c r="H176" s="29" t="str">
        <x:v>Daily Scrum</x:v>
      </x:c>
      <x:c r="I176" s="29" t="str">
        <x:v>Developers 检查 Sprint Goal 进展并调整计划</x:v>
      </x:c>
      <x:c r="J176" s="29" t="str">
        <x:v>不是向 PM 汇报状态</x:v>
      </x:c>
      <x:c r="K176" s="20" t="str">
        <x:v>Not Started 未学</x:v>
      </x:c>
      <x:c r="L176" s="23"/>
      <x:c r="M176" s="23"/>
      <x:c r="N176" s="20"/>
      <x:c r="O176" s="20" t="n">
        <x:v>0</x:v>
      </x:c>
      <x:c r="P176" s="20" t="n">
        <x:v>0</x:v>
      </x:c>
      <x:c r="Q176" s="26" t="str">
        <x:f>IF(O176=0,"",P176/O176)</x:f>
      </x:c>
    </x:row>
    <x:row r="177">
      <x:c r="A177" s="20" t="str">
        <x:v>KP-176</x:v>
      </x:c>
      <x:c r="B177" s="20" t="str">
        <x:v>Agile</x:v>
      </x:c>
      <x:c r="C177" s="20" t="str">
        <x:v>Cross-cutting</x:v>
      </x:c>
      <x:c r="D177" s="20" t="str">
        <x:v>08</x:v>
      </x:c>
      <x:c r="E177" s="20" t="str">
        <x:v>🔴 必考 Must Know</x:v>
      </x:c>
      <x:c r="F177" s="20" t="str">
        <x:v>Agile</x:v>
      </x:c>
      <x:c r="G177" s="29" t="str">
        <x:v>Sprint Review</x:v>
      </x:c>
      <x:c r="H177" s="29" t="str">
        <x:v>Sprint Review</x:v>
      </x:c>
      <x:c r="I177" s="29" t="str">
        <x:v>与干系人检查成果和环境，调整 Backlog</x:v>
      </x:c>
      <x:c r="J177" s="29" t="str">
        <x:v>不是正式阶段门验收会</x:v>
      </x:c>
      <x:c r="K177" s="20" t="str">
        <x:v>Not Started 未学</x:v>
      </x:c>
      <x:c r="L177" s="23"/>
      <x:c r="M177" s="23"/>
      <x:c r="N177" s="20"/>
      <x:c r="O177" s="20" t="n">
        <x:v>0</x:v>
      </x:c>
      <x:c r="P177" s="20" t="n">
        <x:v>0</x:v>
      </x:c>
      <x:c r="Q177" s="26" t="str">
        <x:f>IF(O177=0,"",P177/O177)</x:f>
      </x:c>
    </x:row>
    <x:row r="178">
      <x:c r="A178" s="20" t="str">
        <x:v>KP-177</x:v>
      </x:c>
      <x:c r="B178" s="20" t="str">
        <x:v>Agile</x:v>
      </x:c>
      <x:c r="C178" s="20" t="str">
        <x:v>Cross-cutting</x:v>
      </x:c>
      <x:c r="D178" s="20" t="str">
        <x:v>08</x:v>
      </x:c>
      <x:c r="E178" s="20" t="str">
        <x:v>🔴 必考 Must Know</x:v>
      </x:c>
      <x:c r="F178" s="20" t="str">
        <x:v>Agile</x:v>
      </x:c>
      <x:c r="G178" s="29" t="str">
        <x:v>Sprint Retrospective</x:v>
      </x:c>
      <x:c r="H178" s="29" t="str">
        <x:v>Sprint Retrospective</x:v>
      </x:c>
      <x:c r="I178" s="29" t="str">
        <x:v>改进质量和团队工作方式</x:v>
      </x:c>
      <x:c r="J178" s="29" t="str">
        <x:v>与 Review 的产品焦点易混</x:v>
      </x:c>
      <x:c r="K178" s="20" t="str">
        <x:v>Not Started 未学</x:v>
      </x:c>
      <x:c r="L178" s="23"/>
      <x:c r="M178" s="23"/>
      <x:c r="N178" s="20"/>
      <x:c r="O178" s="20" t="n">
        <x:v>0</x:v>
      </x:c>
      <x:c r="P178" s="20" t="n">
        <x:v>0</x:v>
      </x:c>
      <x:c r="Q178" s="26" t="str">
        <x:f>IF(O178=0,"",P178/O178)</x:f>
      </x:c>
    </x:row>
    <x:row r="179">
      <x:c r="A179" s="20" t="str">
        <x:v>KP-178</x:v>
      </x:c>
      <x:c r="B179" s="20" t="str">
        <x:v>Agile</x:v>
      </x:c>
      <x:c r="C179" s="20" t="str">
        <x:v>Cross-cutting</x:v>
      </x:c>
      <x:c r="D179" s="20" t="str">
        <x:v>08</x:v>
      </x:c>
      <x:c r="E179" s="20" t="str">
        <x:v>🟠 高频 High Frequency</x:v>
      </x:c>
      <x:c r="F179" s="20" t="str">
        <x:v>Agile</x:v>
      </x:c>
      <x:c r="G179" s="29" t="str">
        <x:v>Backlog Refinement</x:v>
      </x:c>
      <x:c r="H179" s="29" t="str">
        <x:v>Backlog Refinement</x:v>
      </x:c>
      <x:c r="I179" s="29" t="str">
        <x:v>持续拆分、澄清、估算和排序</x:v>
      </x:c>
      <x:c r="J179" s="29" t="str">
        <x:v>不是正式 Scrum Event</x:v>
      </x:c>
      <x:c r="K179" s="20" t="str">
        <x:v>Not Started 未学</x:v>
      </x:c>
      <x:c r="L179" s="23"/>
      <x:c r="M179" s="23"/>
      <x:c r="N179" s="20"/>
      <x:c r="O179" s="20" t="n">
        <x:v>0</x:v>
      </x:c>
      <x:c r="P179" s="20" t="n">
        <x:v>0</x:v>
      </x:c>
      <x:c r="Q179" s="26" t="str">
        <x:f>IF(O179=0,"",P179/O179)</x:f>
      </x:c>
    </x:row>
    <x:row r="180">
      <x:c r="A180" s="20" t="str">
        <x:v>KP-179</x:v>
      </x:c>
      <x:c r="B180" s="20" t="str">
        <x:v>Agile</x:v>
      </x:c>
      <x:c r="C180" s="20" t="str">
        <x:v>Cross-cutting</x:v>
      </x:c>
      <x:c r="D180" s="20" t="str">
        <x:v>08</x:v>
      </x:c>
      <x:c r="E180" s="20" t="str">
        <x:v>🟠 高频 High Frequency</x:v>
      </x:c>
      <x:c r="F180" s="20" t="str">
        <x:v>Agile</x:v>
      </x:c>
      <x:c r="G180" s="29" t="str">
        <x:v>故事点</x:v>
      </x:c>
      <x:c r="H180" s="29" t="str">
        <x:v>Story Points</x:v>
      </x:c>
      <x:c r="I180" s="29" t="str">
        <x:v>相对估算复杂度、工作量和不确定性</x:v>
      </x:c>
      <x:c r="J180" s="29" t="str">
        <x:v>不是工时，也不可跨团队比较</x:v>
      </x:c>
      <x:c r="K180" s="20" t="str">
        <x:v>Not Started 未学</x:v>
      </x:c>
      <x:c r="L180" s="23"/>
      <x:c r="M180" s="23"/>
      <x:c r="N180" s="20"/>
      <x:c r="O180" s="20" t="n">
        <x:v>0</x:v>
      </x:c>
      <x:c r="P180" s="20" t="n">
        <x:v>0</x:v>
      </x:c>
      <x:c r="Q180" s="26" t="str">
        <x:f>IF(O180=0,"",P180/O180)</x:f>
      </x:c>
    </x:row>
    <x:row r="181">
      <x:c r="A181" s="20" t="str">
        <x:v>KP-180</x:v>
      </x:c>
      <x:c r="B181" s="20" t="str">
        <x:v>Agile</x:v>
      </x:c>
      <x:c r="C181" s="20" t="str">
        <x:v>Cross-cutting</x:v>
      </x:c>
      <x:c r="D181" s="20" t="str">
        <x:v>08</x:v>
      </x:c>
      <x:c r="E181" s="20" t="str">
        <x:v>🟠 高频 High Frequency</x:v>
      </x:c>
      <x:c r="F181" s="20" t="str">
        <x:v>Agile</x:v>
      </x:c>
      <x:c r="G181" s="29" t="str">
        <x:v>计划扑克</x:v>
      </x:c>
      <x:c r="H181" s="29" t="str">
        <x:v>Planning Poker</x:v>
      </x:c>
      <x:c r="I181" s="29" t="str">
        <x:v>用独立估算和讨论形成共享理解</x:v>
      </x:c>
      <x:c r="J181" s="29" t="str">
        <x:v>不是取平均数结束</x:v>
      </x:c>
      <x:c r="K181" s="20" t="str">
        <x:v>Not Started 未学</x:v>
      </x:c>
      <x:c r="L181" s="23"/>
      <x:c r="M181" s="23"/>
      <x:c r="N181" s="20"/>
      <x:c r="O181" s="20" t="n">
        <x:v>0</x:v>
      </x:c>
      <x:c r="P181" s="20" t="n">
        <x:v>0</x:v>
      </x:c>
      <x:c r="Q181" s="26" t="str">
        <x:f>IF(O181=0,"",P181/O181)</x:f>
      </x:c>
    </x:row>
    <x:row r="182">
      <x:c r="A182" s="20" t="str">
        <x:v>KP-181</x:v>
      </x:c>
      <x:c r="B182" s="20" t="str">
        <x:v>Agile</x:v>
      </x:c>
      <x:c r="C182" s="20" t="str">
        <x:v>Cross-cutting</x:v>
      </x:c>
      <x:c r="D182" s="20" t="str">
        <x:v>08</x:v>
      </x:c>
      <x:c r="E182" s="20" t="str">
        <x:v>🟠 高频 High Frequency</x:v>
      </x:c>
      <x:c r="F182" s="20" t="str">
        <x:v>Agile</x:v>
      </x:c>
      <x:c r="G182" s="29" t="str">
        <x:v>看板</x:v>
      </x:c>
      <x:c r="H182" s="29" t="str">
        <x:v>Kanban</x:v>
      </x:c>
      <x:c r="I182" s="29" t="str">
        <x:v>可视化流程、限制 WIP、管理流动</x:v>
      </x:c>
      <x:c r="J182" s="29" t="str">
        <x:v>看板不要求固定 Sprint</x:v>
      </x:c>
      <x:c r="K182" s="20" t="str">
        <x:v>Not Started 未学</x:v>
      </x:c>
      <x:c r="L182" s="23"/>
      <x:c r="M182" s="23"/>
      <x:c r="N182" s="20"/>
      <x:c r="O182" s="20" t="n">
        <x:v>0</x:v>
      </x:c>
      <x:c r="P182" s="20" t="n">
        <x:v>0</x:v>
      </x:c>
      <x:c r="Q182" s="26" t="str">
        <x:f>IF(O182=0,"",P182/O182)</x:f>
      </x:c>
    </x:row>
    <x:row r="183">
      <x:c r="A183" s="20" t="str">
        <x:v>KP-182</x:v>
      </x:c>
      <x:c r="B183" s="20" t="str">
        <x:v>Agile</x:v>
      </x:c>
      <x:c r="C183" s="20" t="str">
        <x:v>Cross-cutting</x:v>
      </x:c>
      <x:c r="D183" s="20" t="str">
        <x:v>08</x:v>
      </x:c>
      <x:c r="E183" s="20" t="str">
        <x:v>🔴 必考 Must Know</x:v>
      </x:c>
      <x:c r="F183" s="20" t="str">
        <x:v>Agile</x:v>
      </x:c>
      <x:c r="G183" s="29" t="str">
        <x:v>在制品限制</x:v>
      </x:c>
      <x:c r="H183" s="29" t="str">
        <x:v>Work in Progress (WIP) Limit</x:v>
      </x:c>
      <x:c r="I183" s="29" t="str">
        <x:v>限制并行工作以改善流动和暴露瓶颈</x:v>
      </x:c>
      <x:c r="J183" s="29" t="str">
        <x:v>有空位才拉取新工作</x:v>
      </x:c>
      <x:c r="K183" s="20" t="str">
        <x:v>Not Started 未学</x:v>
      </x:c>
      <x:c r="L183" s="23"/>
      <x:c r="M183" s="23"/>
      <x:c r="N183" s="20"/>
      <x:c r="O183" s="20" t="n">
        <x:v>0</x:v>
      </x:c>
      <x:c r="P183" s="20" t="n">
        <x:v>0</x:v>
      </x:c>
      <x:c r="Q183" s="26" t="str">
        <x:f>IF(O183=0,"",P183/O183)</x:f>
      </x:c>
    </x:row>
    <x:row r="184">
      <x:c r="A184" s="20" t="str">
        <x:v>KP-183</x:v>
      </x:c>
      <x:c r="B184" s="20" t="str">
        <x:v>Agile</x:v>
      </x:c>
      <x:c r="C184" s="20" t="str">
        <x:v>Cross-cutting</x:v>
      </x:c>
      <x:c r="D184" s="20" t="str">
        <x:v>08</x:v>
      </x:c>
      <x:c r="E184" s="20" t="str">
        <x:v>⚪ 了解 Awareness</x:v>
      </x:c>
      <x:c r="F184" s="20" t="str">
        <x:v>Agile</x:v>
      </x:c>
      <x:c r="G184" s="29" t="str">
        <x:v>循环时间</x:v>
      </x:c>
      <x:c r="H184" s="29" t="str">
        <x:v>Cycle Time</x:v>
      </x:c>
      <x:c r="I184" s="29" t="str">
        <x:v>工作开始到完成的时间</x:v>
      </x:c>
      <x:c r="J184" s="29" t="str">
        <x:v>与 Lead Time 易混</x:v>
      </x:c>
      <x:c r="K184" s="20" t="str">
        <x:v>Not Started 未学</x:v>
      </x:c>
      <x:c r="L184" s="23"/>
      <x:c r="M184" s="23"/>
      <x:c r="N184" s="20"/>
      <x:c r="O184" s="20" t="n">
        <x:v>0</x:v>
      </x:c>
      <x:c r="P184" s="20" t="n">
        <x:v>0</x:v>
      </x:c>
      <x:c r="Q184" s="26" t="str">
        <x:f>IF(O184=0,"",P184/O184)</x:f>
      </x:c>
    </x:row>
    <x:row r="185">
      <x:c r="A185" s="20" t="str">
        <x:v>KP-184</x:v>
      </x:c>
      <x:c r="B185" s="20" t="str">
        <x:v>Agile</x:v>
      </x:c>
      <x:c r="C185" s="20" t="str">
        <x:v>Cross-cutting</x:v>
      </x:c>
      <x:c r="D185" s="20" t="str">
        <x:v>08</x:v>
      </x:c>
      <x:c r="E185" s="20" t="str">
        <x:v>⚪ 了解 Awareness</x:v>
      </x:c>
      <x:c r="F185" s="20" t="str">
        <x:v>Agile</x:v>
      </x:c>
      <x:c r="G185" s="29" t="str">
        <x:v>前置时间</x:v>
      </x:c>
      <x:c r="H185" s="29" t="str">
        <x:v>Lead Time</x:v>
      </x:c>
      <x:c r="I185" s="29" t="str">
        <x:v>从请求提出到交付的总时间</x:v>
      </x:c>
      <x:c r="J185" s="29" t="str">
        <x:v>通常包含等待开始</x:v>
      </x:c>
      <x:c r="K185" s="20" t="str">
        <x:v>Not Started 未学</x:v>
      </x:c>
      <x:c r="L185" s="23"/>
      <x:c r="M185" s="23"/>
      <x:c r="N185" s="20"/>
      <x:c r="O185" s="20" t="n">
        <x:v>0</x:v>
      </x:c>
      <x:c r="P185" s="20" t="n">
        <x:v>0</x:v>
      </x:c>
      <x:c r="Q185" s="26" t="str">
        <x:f>IF(O185=0,"",P185/O185)</x:f>
      </x:c>
    </x:row>
    <x:row r="186">
      <x:c r="A186" s="20" t="str">
        <x:v>KP-185</x:v>
      </x:c>
      <x:c r="B186" s="20" t="str">
        <x:v>Agile</x:v>
      </x:c>
      <x:c r="C186" s="20" t="str">
        <x:v>Cross-cutting</x:v>
      </x:c>
      <x:c r="D186" s="20" t="str">
        <x:v>08</x:v>
      </x:c>
      <x:c r="E186" s="20" t="str">
        <x:v>🟠 高频 High Frequency</x:v>
      </x:c>
      <x:c r="F186" s="20" t="str">
        <x:v>Agile</x:v>
      </x:c>
      <x:c r="G186" s="29" t="str">
        <x:v>技术债</x:v>
      </x:c>
      <x:c r="H186" s="29" t="str">
        <x:v>Technical Debt</x:v>
      </x:c>
      <x:c r="I186" s="29" t="str">
        <x:v>短期权衡造成的未来维护成本</x:v>
      </x:c>
      <x:c r="J186" s="29" t="str">
        <x:v>需透明化并有计划偿还</x:v>
      </x:c>
      <x:c r="K186" s="20" t="str">
        <x:v>Not Started 未学</x:v>
      </x:c>
      <x:c r="L186" s="23"/>
      <x:c r="M186" s="23"/>
      <x:c r="N186" s="20"/>
      <x:c r="O186" s="20" t="n">
        <x:v>0</x:v>
      </x:c>
      <x:c r="P186" s="20" t="n">
        <x:v>0</x:v>
      </x:c>
      <x:c r="Q186" s="26" t="str">
        <x:f>IF(O186=0,"",P186/O186)</x:f>
      </x:c>
    </x:row>
    <x:row r="187">
      <x:c r="A187" s="20" t="str">
        <x:v>KP-186</x:v>
      </x:c>
      <x:c r="B187" s="20" t="str">
        <x:v>Agile</x:v>
      </x:c>
      <x:c r="C187" s="20" t="str">
        <x:v>Cross-cutting</x:v>
      </x:c>
      <x:c r="D187" s="20" t="str">
        <x:v>08</x:v>
      </x:c>
      <x:c r="E187" s="20" t="str">
        <x:v>🟠 高频 High Frequency</x:v>
      </x:c>
      <x:c r="F187" s="20" t="str">
        <x:v>Agile</x:v>
      </x:c>
      <x:c r="G187" s="29" t="str">
        <x:v>尖峰</x:v>
      </x:c>
      <x:c r="H187" s="29" t="str">
        <x:v>Spike</x:v>
      </x:c>
      <x:c r="I187" s="29" t="str">
        <x:v>限时探索以减少技术/需求不确定性</x:v>
      </x:c>
      <x:c r="J187" s="29" t="str">
        <x:v>不是无限研究</x:v>
      </x:c>
      <x:c r="K187" s="20" t="str">
        <x:v>Not Started 未学</x:v>
      </x:c>
      <x:c r="L187" s="23"/>
      <x:c r="M187" s="23"/>
      <x:c r="N187" s="20"/>
      <x:c r="O187" s="20" t="n">
        <x:v>0</x:v>
      </x:c>
      <x:c r="P187" s="20" t="n">
        <x:v>0</x:v>
      </x:c>
      <x:c r="Q187" s="26" t="str">
        <x:f>IF(O187=0,"",P187/O187)</x:f>
      </x:c>
    </x:row>
    <x:row r="188">
      <x:c r="A188" s="20" t="str">
        <x:v>KP-187</x:v>
      </x:c>
      <x:c r="B188" s="20" t="str">
        <x:v>Hybrid</x:v>
      </x:c>
      <x:c r="C188" s="20" t="str">
        <x:v>Cross-cutting</x:v>
      </x:c>
      <x:c r="D188" s="20" t="str">
        <x:v>09</x:v>
      </x:c>
      <x:c r="E188" s="20" t="str">
        <x:v>🔴 必考 Must Know</x:v>
      </x:c>
      <x:c r="F188" s="20" t="str">
        <x:v>Hybrid</x:v>
      </x:c>
      <x:c r="G188" s="29" t="str">
        <x:v>混合治理</x:v>
      </x:c>
      <x:c r="H188" s="29" t="str">
        <x:v>Hybrid Governance</x:v>
      </x:c>
      <x:c r="I188" s="29" t="str">
        <x:v>统一价值和治理，按工作流选择方法</x:v>
      </x:c>
      <x:c r="J188" s="29" t="str">
        <x:v>不能让两套方法互相矛盾</x:v>
      </x:c>
      <x:c r="K188" s="20" t="str">
        <x:v>Not Started 未学</x:v>
      </x:c>
      <x:c r="L188" s="23"/>
      <x:c r="M188" s="23"/>
      <x:c r="N188" s="20"/>
      <x:c r="O188" s="20" t="n">
        <x:v>0</x:v>
      </x:c>
      <x:c r="P188" s="20" t="n">
        <x:v>0</x:v>
      </x:c>
      <x:c r="Q188" s="26" t="str">
        <x:f>IF(O188=0,"",P188/O188)</x:f>
      </x:c>
    </x:row>
    <x:row r="189">
      <x:c r="A189" s="20" t="str">
        <x:v>KP-188</x:v>
      </x:c>
      <x:c r="B189" s="20" t="str">
        <x:v>Hybrid</x:v>
      </x:c>
      <x:c r="C189" s="20" t="str">
        <x:v>Cross-cutting</x:v>
      </x:c>
      <x:c r="D189" s="20" t="str">
        <x:v>09</x:v>
      </x:c>
      <x:c r="E189" s="20" t="str">
        <x:v>🔴 必考 Must Know</x:v>
      </x:c>
      <x:c r="F189" s="20" t="str">
        <x:v>Hybrid</x:v>
      </x:c>
      <x:c r="G189" s="29" t="str">
        <x:v>预测型外壳+敏捷交付</x:v>
      </x:c>
      <x:c r="H189" s="29" t="str">
        <x:v>Predictive Governance with Agile Delivery</x:v>
      </x:c>
      <x:c r="I189" s="29" t="str">
        <x:v>固定监管里程碑下迭代开发</x:v>
      </x:c>
      <x:c r="J189" s="29" t="str">
        <x:v>需映射增量、证据和阶段门</x:v>
      </x:c>
      <x:c r="K189" s="20" t="str">
        <x:v>Not Started 未学</x:v>
      </x:c>
      <x:c r="L189" s="23"/>
      <x:c r="M189" s="23"/>
      <x:c r="N189" s="20"/>
      <x:c r="O189" s="20" t="n">
        <x:v>0</x:v>
      </x:c>
      <x:c r="P189" s="20" t="n">
        <x:v>0</x:v>
      </x:c>
      <x:c r="Q189" s="26" t="str">
        <x:f>IF(O189=0,"",P189/O189)</x:f>
      </x:c>
    </x:row>
    <x:row r="190">
      <x:c r="A190" s="20" t="str">
        <x:v>KP-189</x:v>
      </x:c>
      <x:c r="B190" s="20" t="str">
        <x:v>Hybrid</x:v>
      </x:c>
      <x:c r="C190" s="20" t="str">
        <x:v>Cross-cutting</x:v>
      </x:c>
      <x:c r="D190" s="20" t="str">
        <x:v>09</x:v>
      </x:c>
      <x:c r="E190" s="20" t="str">
        <x:v>🟠 高频 High Frequency</x:v>
      </x:c>
      <x:c r="F190" s="20" t="str">
        <x:v>Hybrid</x:v>
      </x:c>
      <x:c r="G190" s="29" t="str">
        <x:v>接口管理</x:v>
      </x:c>
      <x:c r="H190" s="29" t="str">
        <x:v>Interface Management</x:v>
      </x:c>
      <x:c r="I190" s="29" t="str">
        <x:v>管理不同方法、团队和供应商之间的依赖</x:v>
      </x:c>
      <x:c r="J190" s="29" t="str">
        <x:v>接口通常是混合项目主要风险</x:v>
      </x:c>
      <x:c r="K190" s="20" t="str">
        <x:v>Not Started 未学</x:v>
      </x:c>
      <x:c r="L190" s="23"/>
      <x:c r="M190" s="23"/>
      <x:c r="N190" s="20"/>
      <x:c r="O190" s="20" t="n">
        <x:v>0</x:v>
      </x:c>
      <x:c r="P190" s="20" t="n">
        <x:v>0</x:v>
      </x:c>
      <x:c r="Q190" s="26" t="str">
        <x:f>IF(O190=0,"",P190/O190)</x:f>
      </x:c>
    </x:row>
    <x:row r="191">
      <x:c r="A191" s="20" t="str">
        <x:v>KP-190</x:v>
      </x:c>
      <x:c r="B191" s="20" t="str">
        <x:v>Hybrid</x:v>
      </x:c>
      <x:c r="C191" s="20" t="str">
        <x:v>Cross-cutting</x:v>
      </x:c>
      <x:c r="D191" s="20" t="str">
        <x:v>09</x:v>
      </x:c>
      <x:c r="E191" s="20" t="str">
        <x:v>🟡 易错 Easy to Confuse</x:v>
      </x:c>
      <x:c r="F191" s="20" t="str">
        <x:v>Hybrid</x:v>
      </x:c>
      <x:c r="G191" s="29" t="str">
        <x:v>双重报告</x:v>
      </x:c>
      <x:c r="H191" s="29" t="str">
        <x:v>Dual Reporting</x:v>
      </x:c>
      <x:c r="I191" s="29" t="str">
        <x:v>将敏捷指标映射到治理层可理解的成果指标</x:v>
      </x:c>
      <x:c r="J191" s="29" t="str">
        <x:v>不要把 Story Point 当财务进度</x:v>
      </x:c>
      <x:c r="K191" s="20" t="str">
        <x:v>Not Started 未学</x:v>
      </x:c>
      <x:c r="L191" s="23"/>
      <x:c r="M191" s="23"/>
      <x:c r="N191" s="20"/>
      <x:c r="O191" s="20" t="n">
        <x:v>0</x:v>
      </x:c>
      <x:c r="P191" s="20" t="n">
        <x:v>0</x:v>
      </x:c>
      <x:c r="Q191" s="26" t="str">
        <x:f>IF(O191=0,"",P191/O191)</x:f>
      </x:c>
    </x:row>
    <x:row r="192">
      <x:c r="A192" s="20" t="str">
        <x:v>KP-191</x:v>
      </x:c>
      <x:c r="B192" s="20" t="str">
        <x:v>Hybrid</x:v>
      </x:c>
      <x:c r="C192" s="20" t="str">
        <x:v>Cross-cutting</x:v>
      </x:c>
      <x:c r="D192" s="20" t="str">
        <x:v>09</x:v>
      </x:c>
      <x:c r="E192" s="20" t="str">
        <x:v>🟠 高频 High Frequency</x:v>
      </x:c>
      <x:c r="F192" s="20" t="str">
        <x:v>Hybrid</x:v>
      </x:c>
      <x:c r="G192" s="29" t="str">
        <x:v>渐进明细</x:v>
      </x:c>
      <x:c r="H192" s="29" t="str">
        <x:v>Progressive Elaboration</x:v>
      </x:c>
      <x:c r="I192" s="29" t="str">
        <x:v>随着信息增加逐步细化计划</x:v>
      </x:c>
      <x:c r="J192" s="29" t="str">
        <x:v>与 Scope Creep 不同</x:v>
      </x:c>
      <x:c r="K192" s="20" t="str">
        <x:v>Not Started 未学</x:v>
      </x:c>
      <x:c r="L192" s="23"/>
      <x:c r="M192" s="23"/>
      <x:c r="N192" s="20"/>
      <x:c r="O192" s="20" t="n">
        <x:v>0</x:v>
      </x:c>
      <x:c r="P192" s="20" t="n">
        <x:v>0</x:v>
      </x:c>
      <x:c r="Q192" s="26" t="str">
        <x:f>IF(O192=0,"",P192/O192)</x:f>
      </x:c>
    </x:row>
    <x:row r="193">
      <x:c r="A193" s="20" t="str">
        <x:v>KP-192</x:v>
      </x:c>
      <x:c r="B193" s="20" t="str">
        <x:v>Hybrid</x:v>
      </x:c>
      <x:c r="C193" s="20" t="str">
        <x:v>Cross-cutting</x:v>
      </x:c>
      <x:c r="D193" s="20" t="str">
        <x:v>09</x:v>
      </x:c>
      <x:c r="E193" s="20" t="str">
        <x:v>🟠 高频 High Frequency</x:v>
      </x:c>
      <x:c r="F193" s="20" t="str">
        <x:v>Hybrid</x:v>
      </x:c>
      <x:c r="G193" s="29" t="str">
        <x:v>滚动式规划</x:v>
      </x:c>
      <x:c r="H193" s="29" t="str">
        <x:v>Rolling Wave Planning</x:v>
      </x:c>
      <x:c r="I193" s="29" t="str">
        <x:v>近期详细、远期高层规划</x:v>
      </x:c>
      <x:c r="J193" s="29" t="str">
        <x:v>不等于没有长期方向</x:v>
      </x:c>
      <x:c r="K193" s="20" t="str">
        <x:v>Not Started 未学</x:v>
      </x:c>
      <x:c r="L193" s="23"/>
      <x:c r="M193" s="23"/>
      <x:c r="N193" s="20"/>
      <x:c r="O193" s="20" t="n">
        <x:v>0</x:v>
      </x:c>
      <x:c r="P193" s="20" t="n">
        <x:v>0</x:v>
      </x:c>
      <x:c r="Q193" s="26" t="str">
        <x:f>IF(O193=0,"",P193/O193)</x:f>
      </x:c>
    </x:row>
    <x:row r="194">
      <x:c r="A194" s="20" t="str">
        <x:v>KP-193</x:v>
      </x:c>
      <x:c r="B194" s="20" t="str">
        <x:v>AI</x:v>
      </x:c>
      <x:c r="C194" s="20" t="str">
        <x:v>Cross-cutting</x:v>
      </x:c>
      <x:c r="D194" s="20" t="str">
        <x:v>10</x:v>
      </x:c>
      <x:c r="E194" s="20" t="str">
        <x:v>🔴 必考 Must Know</x:v>
      </x:c>
      <x:c r="F194" s="20" t="str">
        <x:v>All</x:v>
      </x:c>
      <x:c r="G194" s="29" t="str">
        <x:v>负责任的 AI</x:v>
      </x:c>
      <x:c r="H194" s="29" t="str">
        <x:v>Responsible AI</x:v>
      </x:c>
      <x:c r="I194" s="29" t="str">
        <x:v>以人类监督、公平、透明、安全和问责使用 AI</x:v>
      </x:c>
      <x:c r="J194" s="29" t="str">
        <x:v>工具供应商不承担项目经理全部责任</x:v>
      </x:c>
      <x:c r="K194" s="20" t="str">
        <x:v>Not Started 未学</x:v>
      </x:c>
      <x:c r="L194" s="23"/>
      <x:c r="M194" s="23"/>
      <x:c r="N194" s="20"/>
      <x:c r="O194" s="20" t="n">
        <x:v>0</x:v>
      </x:c>
      <x:c r="P194" s="20" t="n">
        <x:v>0</x:v>
      </x:c>
      <x:c r="Q194" s="26" t="str">
        <x:f>IF(O194=0,"",P194/O194)</x:f>
      </x:c>
    </x:row>
    <x:row r="195">
      <x:c r="A195" s="20" t="str">
        <x:v>KP-194</x:v>
      </x:c>
      <x:c r="B195" s="20" t="str">
        <x:v>AI</x:v>
      </x:c>
      <x:c r="C195" s="20" t="str">
        <x:v>Cross-cutting</x:v>
      </x:c>
      <x:c r="D195" s="20" t="str">
        <x:v>10</x:v>
      </x:c>
      <x:c r="E195" s="20" t="str">
        <x:v>🔴 必考 Must Know</x:v>
      </x:c>
      <x:c r="F195" s="20" t="str">
        <x:v>All</x:v>
      </x:c>
      <x:c r="G195" s="29" t="str">
        <x:v>人类监督</x:v>
      </x:c>
      <x:c r="H195" s="29" t="str">
        <x:v>Human Oversight</x:v>
      </x:c>
      <x:c r="I195" s="29" t="str">
        <x:v>高影响决定由有权限的人审查和负责</x:v>
      </x:c>
      <x:c r="J195" s="29" t="str">
        <x:v>不能盲目自动执行建议</x:v>
      </x:c>
      <x:c r="K195" s="20" t="str">
        <x:v>Not Started 未学</x:v>
      </x:c>
      <x:c r="L195" s="23"/>
      <x:c r="M195" s="23"/>
      <x:c r="N195" s="20"/>
      <x:c r="O195" s="20" t="n">
        <x:v>0</x:v>
      </x:c>
      <x:c r="P195" s="20" t="n">
        <x:v>0</x:v>
      </x:c>
      <x:c r="Q195" s="26" t="str">
        <x:f>IF(O195=0,"",P195/O195)</x:f>
      </x:c>
    </x:row>
    <x:row r="196">
      <x:c r="A196" s="20" t="str">
        <x:v>KP-195</x:v>
      </x:c>
      <x:c r="B196" s="20" t="str">
        <x:v>AI</x:v>
      </x:c>
      <x:c r="C196" s="20" t="str">
        <x:v>Cross-cutting</x:v>
      </x:c>
      <x:c r="D196" s="20" t="str">
        <x:v>10</x:v>
      </x:c>
      <x:c r="E196" s="20" t="str">
        <x:v>🔴 必考 Must Know</x:v>
      </x:c>
      <x:c r="F196" s="20" t="str">
        <x:v>All</x:v>
      </x:c>
      <x:c r="G196" s="29" t="str">
        <x:v>AI 输出验证</x:v>
      </x:c>
      <x:c r="H196" s="29" t="str">
        <x:v>AI Output Validation</x:v>
      </x:c>
      <x:c r="I196" s="29" t="str">
        <x:v>用可靠数据、领域专家和交叉检查验证输出</x:v>
      </x:c>
      <x:c r="J196" s="29" t="str">
        <x:v>流畅文本不等于正确</x:v>
      </x:c>
      <x:c r="K196" s="20" t="str">
        <x:v>Not Started 未学</x:v>
      </x:c>
      <x:c r="L196" s="23"/>
      <x:c r="M196" s="23"/>
      <x:c r="N196" s="20"/>
      <x:c r="O196" s="20" t="n">
        <x:v>0</x:v>
      </x:c>
      <x:c r="P196" s="20" t="n">
        <x:v>0</x:v>
      </x:c>
      <x:c r="Q196" s="26" t="str">
        <x:f>IF(O196=0,"",P196/O196)</x:f>
      </x:c>
    </x:row>
    <x:row r="197">
      <x:c r="A197" s="20" t="str">
        <x:v>KP-196</x:v>
      </x:c>
      <x:c r="B197" s="20" t="str">
        <x:v>AI</x:v>
      </x:c>
      <x:c r="C197" s="20" t="str">
        <x:v>Cross-cutting</x:v>
      </x:c>
      <x:c r="D197" s="20" t="str">
        <x:v>10</x:v>
      </x:c>
      <x:c r="E197" s="20" t="str">
        <x:v>🟠 高频 High Frequency</x:v>
      </x:c>
      <x:c r="F197" s="20" t="str">
        <x:v>All</x:v>
      </x:c>
      <x:c r="G197" s="29" t="str">
        <x:v>数据质量</x:v>
      </x:c>
      <x:c r="H197" s="29" t="str">
        <x:v>Data Quality</x:v>
      </x:c>
      <x:c r="I197" s="29" t="str">
        <x:v>评估准确性、完整性、代表性、时效性和血缘</x:v>
      </x:c>
      <x:c r="J197" s="29" t="str">
        <x:v>垃圾进会导致垃圾出</x:v>
      </x:c>
      <x:c r="K197" s="20" t="str">
        <x:v>Not Started 未学</x:v>
      </x:c>
      <x:c r="L197" s="23"/>
      <x:c r="M197" s="23"/>
      <x:c r="N197" s="20"/>
      <x:c r="O197" s="20" t="n">
        <x:v>0</x:v>
      </x:c>
      <x:c r="P197" s="20" t="n">
        <x:v>0</x:v>
      </x:c>
      <x:c r="Q197" s="26" t="str">
        <x:f>IF(O197=0,"",P197/O197)</x:f>
      </x:c>
    </x:row>
    <x:row r="198">
      <x:c r="A198" s="20" t="str">
        <x:v>KP-197</x:v>
      </x:c>
      <x:c r="B198" s="20" t="str">
        <x:v>AI</x:v>
      </x:c>
      <x:c r="C198" s="20" t="str">
        <x:v>Cross-cutting</x:v>
      </x:c>
      <x:c r="D198" s="20" t="str">
        <x:v>10</x:v>
      </x:c>
      <x:c r="E198" s="20" t="str">
        <x:v>🔴 必考 Must Know</x:v>
      </x:c>
      <x:c r="F198" s="20" t="str">
        <x:v>All</x:v>
      </x:c>
      <x:c r="G198" s="29" t="str">
        <x:v>算法偏差</x:v>
      </x:c>
      <x:c r="H198" s="29" t="str">
        <x:v>Algorithmic Bias</x:v>
      </x:c>
      <x:c r="I198" s="29" t="str">
        <x:v>识别数据和模型对群体造成的不公平影响</x:v>
      </x:c>
      <x:c r="J198" s="29" t="str">
        <x:v>平均准确率可能掩盖群体差异</x:v>
      </x:c>
      <x:c r="K198" s="20" t="str">
        <x:v>Not Started 未学</x:v>
      </x:c>
      <x:c r="L198" s="23"/>
      <x:c r="M198" s="23"/>
      <x:c r="N198" s="20"/>
      <x:c r="O198" s="20" t="n">
        <x:v>0</x:v>
      </x:c>
      <x:c r="P198" s="20" t="n">
        <x:v>0</x:v>
      </x:c>
      <x:c r="Q198" s="26" t="str">
        <x:f>IF(O198=0,"",P198/O198)</x:f>
      </x:c>
    </x:row>
    <x:row r="199">
      <x:c r="A199" s="20" t="str">
        <x:v>KP-198</x:v>
      </x:c>
      <x:c r="B199" s="20" t="str">
        <x:v>AI</x:v>
      </x:c>
      <x:c r="C199" s="20" t="str">
        <x:v>Cross-cutting</x:v>
      </x:c>
      <x:c r="D199" s="20" t="str">
        <x:v>10</x:v>
      </x:c>
      <x:c r="E199" s="20" t="str">
        <x:v>🔴 必考 Must Know</x:v>
      </x:c>
      <x:c r="F199" s="20" t="str">
        <x:v>All</x:v>
      </x:c>
      <x:c r="G199" s="29" t="str">
        <x:v>AI 隐私与保密</x:v>
      </x:c>
      <x:c r="H199" s="29" t="str">
        <x:v>AI Privacy and Confidentiality</x:v>
      </x:c>
      <x:c r="I199" s="29" t="str">
        <x:v>最小化敏感数据并按政策选择工具</x:v>
      </x:c>
      <x:c r="J199" s="29" t="str">
        <x:v>不得把机密内容随意输入公共模型</x:v>
      </x:c>
      <x:c r="K199" s="20" t="str">
        <x:v>Not Started 未学</x:v>
      </x:c>
      <x:c r="L199" s="23"/>
      <x:c r="M199" s="23"/>
      <x:c r="N199" s="20"/>
      <x:c r="O199" s="20" t="n">
        <x:v>0</x:v>
      </x:c>
      <x:c r="P199" s="20" t="n">
        <x:v>0</x:v>
      </x:c>
      <x:c r="Q199" s="26" t="str">
        <x:f>IF(O199=0,"",P199/O199)</x:f>
      </x:c>
    </x:row>
    <x:row r="200">
      <x:c r="A200" s="20" t="str">
        <x:v>KP-199</x:v>
      </x:c>
      <x:c r="B200" s="20" t="str">
        <x:v>AI</x:v>
      </x:c>
      <x:c r="C200" s="20" t="str">
        <x:v>Cross-cutting</x:v>
      </x:c>
      <x:c r="D200" s="20" t="str">
        <x:v>10</x:v>
      </x:c>
      <x:c r="E200" s="20" t="str">
        <x:v>🟠 高频 High Frequency</x:v>
      </x:c>
      <x:c r="F200" s="20" t="str">
        <x:v>All</x:v>
      </x:c>
      <x:c r="G200" s="29" t="str">
        <x:v>AI 使用场景评估</x:v>
      </x:c>
      <x:c r="H200" s="29" t="str">
        <x:v>AI Use-case Assessment</x:v>
      </x:c>
      <x:c r="I200" s="29" t="str">
        <x:v>比较价值、风险、可解释性、合规和可逆性</x:v>
      </x:c>
      <x:c r="J200" s="29" t="str">
        <x:v>为了跟风使用不是商业论证</x:v>
      </x:c>
      <x:c r="K200" s="20" t="str">
        <x:v>Not Started 未学</x:v>
      </x:c>
      <x:c r="L200" s="23"/>
      <x:c r="M200" s="23"/>
      <x:c r="N200" s="20"/>
      <x:c r="O200" s="20" t="n">
        <x:v>0</x:v>
      </x:c>
      <x:c r="P200" s="20" t="n">
        <x:v>0</x:v>
      </x:c>
      <x:c r="Q200" s="26" t="str">
        <x:f>IF(O200=0,"",P200/O200)</x:f>
      </x:c>
    </x:row>
    <x:row r="201">
      <x:c r="A201" s="20" t="str">
        <x:v>KP-200</x:v>
      </x:c>
      <x:c r="B201" s="20" t="str">
        <x:v>AI</x:v>
      </x:c>
      <x:c r="C201" s="20" t="str">
        <x:v>Cross-cutting</x:v>
      </x:c>
      <x:c r="D201" s="20" t="str">
        <x:v>10</x:v>
      </x:c>
      <x:c r="E201" s="20" t="str">
        <x:v>🟠 高频 High Frequency</x:v>
      </x:c>
      <x:c r="F201" s="20" t="str">
        <x:v>All</x:v>
      </x:c>
      <x:c r="G201" s="29" t="str">
        <x:v>提示与版本记录</x:v>
      </x:c>
      <x:c r="H201" s="29" t="str">
        <x:v>Prompt and Version Logging</x:v>
      </x:c>
      <x:c r="I201" s="29" t="str">
        <x:v>保留关键输入、模型版本、审批和输出证据</x:v>
      </x:c>
      <x:c r="J201" s="29" t="str">
        <x:v>可审计性需按风险裁剪</x:v>
      </x:c>
      <x:c r="K201" s="20" t="str">
        <x:v>Not Started 未学</x:v>
      </x:c>
      <x:c r="L201" s="23"/>
      <x:c r="M201" s="23"/>
      <x:c r="N201" s="20"/>
      <x:c r="O201" s="20" t="n">
        <x:v>0</x:v>
      </x:c>
      <x:c r="P201" s="20" t="n">
        <x:v>0</x:v>
      </x:c>
      <x:c r="Q201" s="26" t="str">
        <x:f>IF(O201=0,"",P201/O201)</x:f>
      </x:c>
    </x:row>
    <x:row r="202">
      <x:c r="A202" s="20" t="str">
        <x:v>KP-201</x:v>
      </x:c>
      <x:c r="B202" s="20" t="str">
        <x:v>AI</x:v>
      </x:c>
      <x:c r="C202" s="20" t="str">
        <x:v>Cross-cutting</x:v>
      </x:c>
      <x:c r="D202" s="20" t="str">
        <x:v>10</x:v>
      </x:c>
      <x:c r="E202" s="20" t="str">
        <x:v>🟠 高频 High Frequency</x:v>
      </x:c>
      <x:c r="F202" s="20" t="str">
        <x:v>All</x:v>
      </x:c>
      <x:c r="G202" s="29" t="str">
        <x:v>AI 辅助估算</x:v>
      </x:c>
      <x:c r="H202" s="29" t="str">
        <x:v>AI-assisted Estimation</x:v>
      </x:c>
      <x:c r="I202" s="29" t="str">
        <x:v>用历史数据辅助预测并说明不确定性</x:v>
      </x:c>
      <x:c r="J202" s="29" t="str">
        <x:v>不能省略专家判断和基准校准</x:v>
      </x:c>
      <x:c r="K202" s="20" t="str">
        <x:v>Not Started 未学</x:v>
      </x:c>
      <x:c r="L202" s="23"/>
      <x:c r="M202" s="23"/>
      <x:c r="N202" s="20"/>
      <x:c r="O202" s="20" t="n">
        <x:v>0</x:v>
      </x:c>
      <x:c r="P202" s="20" t="n">
        <x:v>0</x:v>
      </x:c>
      <x:c r="Q202" s="26" t="str">
        <x:f>IF(O202=0,"",P202/O202)</x:f>
      </x:c>
    </x:row>
    <x:row r="203">
      <x:c r="A203" s="20" t="str">
        <x:v>KP-202</x:v>
      </x:c>
      <x:c r="B203" s="20" t="str">
        <x:v>Sustainability</x:v>
      </x:c>
      <x:c r="C203" s="20" t="str">
        <x:v>Cross-cutting</x:v>
      </x:c>
      <x:c r="D203" s="20" t="str">
        <x:v>11</x:v>
      </x:c>
      <x:c r="E203" s="20" t="str">
        <x:v>🔴 必考 Must Know</x:v>
      </x:c>
      <x:c r="F203" s="20" t="str">
        <x:v>All</x:v>
      </x:c>
      <x:c r="G203" s="29" t="str">
        <x:v>可持续性整合</x:v>
      </x:c>
      <x:c r="H203" s="29" t="str">
        <x:v>Sustainability Integration</x:v>
      </x:c>
      <x:c r="I203" s="29" t="str">
        <x:v>在治理、规划、质量、采购、风险和价值中持续考虑</x:v>
      </x:c>
      <x:c r="J203" s="29" t="str">
        <x:v>不是收尾报告附录</x:v>
      </x:c>
      <x:c r="K203" s="20" t="str">
        <x:v>Not Started 未学</x:v>
      </x:c>
      <x:c r="L203" s="23"/>
      <x:c r="M203" s="23"/>
      <x:c r="N203" s="20"/>
      <x:c r="O203" s="20" t="n">
        <x:v>0</x:v>
      </x:c>
      <x:c r="P203" s="20" t="n">
        <x:v>0</x:v>
      </x:c>
      <x:c r="Q203" s="26" t="str">
        <x:f>IF(O203=0,"",P203/O203)</x:f>
      </x:c>
    </x:row>
    <x:row r="204">
      <x:c r="A204" s="20" t="str">
        <x:v>KP-203</x:v>
      </x:c>
      <x:c r="B204" s="20" t="str">
        <x:v>Sustainability</x:v>
      </x:c>
      <x:c r="C204" s="20" t="str">
        <x:v>Cross-cutting</x:v>
      </x:c>
      <x:c r="D204" s="20" t="str">
        <x:v>11</x:v>
      </x:c>
      <x:c r="E204" s="20" t="str">
        <x:v>🔴 必考 Must Know</x:v>
      </x:c>
      <x:c r="F204" s="20" t="str">
        <x:v>All</x:v>
      </x:c>
      <x:c r="G204" s="29" t="str">
        <x:v>生命周期思维</x:v>
      </x:c>
      <x:c r="H204" s="29" t="str">
        <x:v>Life-cycle Thinking</x:v>
      </x:c>
      <x:c r="I204" s="29" t="str">
        <x:v>评估从获取、建造、运营到退役的影响</x:v>
      </x:c>
      <x:c r="J204" s="29" t="str">
        <x:v>只优化项目交付阶段可能转移负担</x:v>
      </x:c>
      <x:c r="K204" s="20" t="str">
        <x:v>Not Started 未学</x:v>
      </x:c>
      <x:c r="L204" s="23"/>
      <x:c r="M204" s="23"/>
      <x:c r="N204" s="20"/>
      <x:c r="O204" s="20" t="n">
        <x:v>0</x:v>
      </x:c>
      <x:c r="P204" s="20" t="n">
        <x:v>0</x:v>
      </x:c>
      <x:c r="Q204" s="26" t="str">
        <x:f>IF(O204=0,"",P204/O204)</x:f>
      </x:c>
    </x:row>
    <x:row r="205">
      <x:c r="A205" s="20" t="str">
        <x:v>KP-204</x:v>
      </x:c>
      <x:c r="B205" s="20" t="str">
        <x:v>Sustainability</x:v>
      </x:c>
      <x:c r="C205" s="20" t="str">
        <x:v>Cross-cutting</x:v>
      </x:c>
      <x:c r="D205" s="20" t="str">
        <x:v>11</x:v>
      </x:c>
      <x:c r="E205" s="20" t="str">
        <x:v>🟠 高频 High Frequency</x:v>
      </x:c>
      <x:c r="F205" s="20" t="str">
        <x:v>All</x:v>
      </x:c>
      <x:c r="G205" s="29" t="str">
        <x:v>三重底线</x:v>
      </x:c>
      <x:c r="H205" s="29" t="str">
        <x:v>People, Planet, Prosperity</x:v>
      </x:c>
      <x:c r="I205" s="29" t="str">
        <x:v>平衡社会、环境与经济价值</x:v>
      </x:c>
      <x:c r="J205" s="29" t="str">
        <x:v>不能只用短期财务指标</x:v>
      </x:c>
      <x:c r="K205" s="20" t="str">
        <x:v>Not Started 未学</x:v>
      </x:c>
      <x:c r="L205" s="23"/>
      <x:c r="M205" s="23"/>
      <x:c r="N205" s="20"/>
      <x:c r="O205" s="20" t="n">
        <x:v>0</x:v>
      </x:c>
      <x:c r="P205" s="20" t="n">
        <x:v>0</x:v>
      </x:c>
      <x:c r="Q205" s="26" t="str">
        <x:f>IF(O205=0,"",P205/O205)</x:f>
      </x:c>
    </x:row>
    <x:row r="206">
      <x:c r="A206" s="20" t="str">
        <x:v>KP-205</x:v>
      </x:c>
      <x:c r="B206" s="20" t="str">
        <x:v>Sustainability</x:v>
      </x:c>
      <x:c r="C206" s="20" t="str">
        <x:v>Cross-cutting</x:v>
      </x:c>
      <x:c r="D206" s="20" t="str">
        <x:v>11</x:v>
      </x:c>
      <x:c r="E206" s="20" t="str">
        <x:v>🔴 必考 Must Know</x:v>
      </x:c>
      <x:c r="F206" s="20" t="str">
        <x:v>All</x:v>
      </x:c>
      <x:c r="G206" s="29" t="str">
        <x:v>可持续采购</x:v>
      </x:c>
      <x:c r="H206" s="29" t="str">
        <x:v>Sustainable Procurement</x:v>
      </x:c>
      <x:c r="I206" s="29" t="str">
        <x:v>把供应链环境、社会、治理和全寿命成本纳入选择</x:v>
      </x:c>
      <x:c r="J206" s="29" t="str">
        <x:v>最低报价未必最佳价值</x:v>
      </x:c>
      <x:c r="K206" s="20" t="str">
        <x:v>Not Started 未学</x:v>
      </x:c>
      <x:c r="L206" s="23"/>
      <x:c r="M206" s="23"/>
      <x:c r="N206" s="20"/>
      <x:c r="O206" s="20" t="n">
        <x:v>0</x:v>
      </x:c>
      <x:c r="P206" s="20" t="n">
        <x:v>0</x:v>
      </x:c>
      <x:c r="Q206" s="26" t="str">
        <x:f>IF(O206=0,"",P206/O206)</x:f>
      </x:c>
    </x:row>
    <x:row r="207">
      <x:c r="A207" s="20" t="str">
        <x:v>KP-206</x:v>
      </x:c>
      <x:c r="B207" s="20" t="str">
        <x:v>Sustainability</x:v>
      </x:c>
      <x:c r="C207" s="20" t="str">
        <x:v>Cross-cutting</x:v>
      </x:c>
      <x:c r="D207" s="20" t="str">
        <x:v>11</x:v>
      </x:c>
      <x:c r="E207" s="20" t="str">
        <x:v>🟠 高频 High Frequency</x:v>
      </x:c>
      <x:c r="F207" s="20" t="str">
        <x:v>All</x:v>
      </x:c>
      <x:c r="G207" s="29" t="str">
        <x:v>碳与资源指标</x:v>
      </x:c>
      <x:c r="H207" s="29" t="str">
        <x:v>Carbon and Resource Metrics</x:v>
      </x:c>
      <x:c r="I207" s="29" t="str">
        <x:v>建立基线、边界、数据来源和改进目标</x:v>
      </x:c>
      <x:c r="J207" s="29" t="str">
        <x:v>指标边界不清会误导</x:v>
      </x:c>
      <x:c r="K207" s="20" t="str">
        <x:v>Not Started 未学</x:v>
      </x:c>
      <x:c r="L207" s="23"/>
      <x:c r="M207" s="23"/>
      <x:c r="N207" s="20"/>
      <x:c r="O207" s="20" t="n">
        <x:v>0</x:v>
      </x:c>
      <x:c r="P207" s="20" t="n">
        <x:v>0</x:v>
      </x:c>
      <x:c r="Q207" s="26" t="str">
        <x:f>IF(O207=0,"",P207/O207)</x:f>
      </x:c>
    </x:row>
    <x:row r="208">
      <x:c r="A208" s="20" t="str">
        <x:v>KP-207</x:v>
      </x:c>
      <x:c r="B208" s="20" t="str">
        <x:v>Sustainability</x:v>
      </x:c>
      <x:c r="C208" s="20" t="str">
        <x:v>Cross-cutting</x:v>
      </x:c>
      <x:c r="D208" s="20" t="str">
        <x:v>11</x:v>
      </x:c>
      <x:c r="E208" s="20" t="str">
        <x:v>🟠 高频 High Frequency</x:v>
      </x:c>
      <x:c r="F208" s="20" t="str">
        <x:v>All</x:v>
      </x:c>
      <x:c r="G208" s="29" t="str">
        <x:v>社会影响</x:v>
      </x:c>
      <x:c r="H208" s="29" t="str">
        <x:v>Social Impact</x:v>
      </x:c>
      <x:c r="I208" s="29" t="str">
        <x:v>考虑安全、公平、可及性、社区和劳工影响</x:v>
      </x:c>
      <x:c r="J208" s="29" t="str">
        <x:v>合规只是最低线</x:v>
      </x:c>
      <x:c r="K208" s="20" t="str">
        <x:v>Not Started 未学</x:v>
      </x:c>
      <x:c r="L208" s="23"/>
      <x:c r="M208" s="23"/>
      <x:c r="N208" s="20"/>
      <x:c r="O208" s="20" t="n">
        <x:v>0</x:v>
      </x:c>
      <x:c r="P208" s="20" t="n">
        <x:v>0</x:v>
      </x:c>
      <x:c r="Q208" s="26" t="str">
        <x:f>IF(O208=0,"",P208/O208)</x:f>
      </x:c>
    </x:row>
    <x:row r="209">
      <x:c r="A209" s="20" t="str">
        <x:v>KP-208</x:v>
      </x:c>
      <x:c r="B209" s="20" t="str">
        <x:v>Sustainability</x:v>
      </x:c>
      <x:c r="C209" s="20" t="str">
        <x:v>Cross-cutting</x:v>
      </x:c>
      <x:c r="D209" s="20" t="str">
        <x:v>11</x:v>
      </x:c>
      <x:c r="E209" s="20" t="str">
        <x:v>🔴 必考 Must Know</x:v>
      </x:c>
      <x:c r="F209" s="20" t="str">
        <x:v>All</x:v>
      </x:c>
      <x:c r="G209" s="29" t="str">
        <x:v>可持续性风险</x:v>
      </x:c>
      <x:c r="H209" s="29" t="str">
        <x:v>Sustainability Risk</x:v>
      </x:c>
      <x:c r="I209" s="29" t="str">
        <x:v>识别环境、社会、供应链、监管与声誉不确定性</x:v>
      </x:c>
      <x:c r="J209" s="29" t="str">
        <x:v>既有威胁也有机会</x:v>
      </x:c>
      <x:c r="K209" s="20" t="str">
        <x:v>Not Started 未学</x:v>
      </x:c>
      <x:c r="L209" s="23"/>
      <x:c r="M209" s="23"/>
      <x:c r="N209" s="20"/>
      <x:c r="O209" s="20" t="n">
        <x:v>0</x:v>
      </x:c>
      <x:c r="P209" s="20" t="n">
        <x:v>0</x:v>
      </x:c>
      <x:c r="Q209" s="26" t="str">
        <x:f>IF(O209=0,"",P209/O209)</x:f>
      </x:c>
    </x:row>
    <x:row r="210">
      <x:c r="A210" s="21" t="str">
        <x:v>KP-209</x:v>
      </x:c>
      <x:c r="B210" s="21" t="str">
        <x:v>Sustainability</x:v>
      </x:c>
      <x:c r="C210" s="21" t="str">
        <x:v>Cross-cutting</x:v>
      </x:c>
      <x:c r="D210" s="21" t="str">
        <x:v>11</x:v>
      </x:c>
      <x:c r="E210" s="21" t="str">
        <x:v>🟠 高频 High Frequency</x:v>
      </x:c>
      <x:c r="F210" s="21" t="str">
        <x:v>All</x:v>
      </x:c>
      <x:c r="G210" s="30" t="str">
        <x:v>净正向价值</x:v>
      </x:c>
      <x:c r="H210" s="30" t="str">
        <x:v>Net-positive Value</x:v>
      </x:c>
      <x:c r="I210" s="30" t="str">
        <x:v>追求超越减害的再生或正向结果</x:v>
      </x:c>
      <x:c r="J210" s="30" t="str">
        <x:v>需可衡量且防止绿色漂洗</x:v>
      </x:c>
      <x:c r="K210" s="21" t="str">
        <x:v>Not Started 未学</x:v>
      </x:c>
      <x:c r="L210" s="24"/>
      <x:c r="M210" s="24"/>
      <x:c r="N210" s="21"/>
      <x:c r="O210" s="21" t="n">
        <x:v>0</x:v>
      </x:c>
      <x:c r="P210" s="21" t="n">
        <x:v>0</x:v>
      </x:c>
      <x:c r="Q210" s="27" t="str">
        <x:f>IF(O210=0,"",P210/O210)</x:f>
      </x:c>
    </x:row>
  </x:sheetData>
  <x:conditionalFormatting sqref="K2:K210">
    <x:cfRule type="containsText" dxfId="0" priority="1" operator="containsText" text="Mastered"/>
    <x:cfRule type="containsText" dxfId="1" priority="2" operator="containsText" text="Unstable"/>
    <x:cfRule type="containsText" dxfId="2" priority="3" operator="containsText" text="Not Started"/>
  </x:conditionalFormatting>
  <x:dataValidations count="2">
    <x:dataValidation type="list" sqref="K2:K210">
      <x:formula1>'Lists'!$A$2:$A$5</x:formula1>
    </x:dataValidation>
    <x:dataValidation type="whole" operator="between" sqref="N2:N210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ff596ba2c0844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48" hidden="0" customWidth="1"/>
    <x:col min="11" max="11" width="13" hidden="0" customWidth="1"/>
  </x:cols>
  <x:sheetData>
    <x:row r="1" ht="30" customHeight="1">
      <x:c r="A1" s="12" t="str">
        <x:v>Date</x:v>
      </x:c>
      <x:c r="B1" s="13" t="str">
        <x:v>Question ID</x:v>
      </x:c>
      <x:c r="C1" s="13" t="str">
        <x:v>Knowledge ID</x:v>
      </x:c>
      <x:c r="D1" s="13" t="str">
        <x:v>My Answer</x:v>
      </x:c>
      <x:c r="E1" s="13" t="str">
        <x:v>Correct Answer</x:v>
      </x:c>
      <x:c r="F1" s="13" t="str">
        <x:v>Result</x:v>
      </x:c>
      <x:c r="G1" s="13" t="str">
        <x:v>Confidence 1-5</x:v>
      </x:c>
      <x:c r="H1" s="13" t="str">
        <x:v>Time Seconds</x:v>
      </x:c>
      <x:c r="I1" s="13" t="str">
        <x:v>Error Code</x:v>
      </x:c>
      <x:c r="J1" s="13" t="str">
        <x:v>Reflection / Notes</x:v>
      </x:c>
      <x:c r="K1" s="14" t="str">
        <x:v>Next Review</x:v>
      </x:c>
    </x:row>
    <x:row r="2">
      <x:c r="A2" s="22" t="n">
        <x:v>46251</x:v>
      </x:c>
      <x:c r="B2" s="19" t="str">
        <x:v>CONV-FOUND-001</x:v>
      </x:c>
      <x:c r="C2" s="19" t="str">
        <x:v>KP-002</x:v>
      </x:c>
      <x:c r="D2" s="19" t="str">
        <x:v>Project</x:v>
      </x:c>
      <x:c r="E2" s="19" t="str">
        <x:v>Operations</x:v>
      </x:c>
      <x:c r="F2" s="19" t="str">
        <x:v>Incorrect 错误</x:v>
      </x:c>
      <x:c r="G2" s="19" t="n">
        <x:v>2</x:v>
      </x:c>
      <x:c r="H2" s="19"/>
      <x:c r="I2" s="19" t="str">
        <x:v>C 理解</x:v>
      </x:c>
      <x:c r="J2" s="28" t="str">
        <x:v>把有产量目标误认为项目目标；应先看是否重复维持业务。</x:v>
      </x:c>
      <x:c r="K2" s="22" t="n">
        <x:v>46252</x:v>
      </x:c>
    </x:row>
    <x:row r="3">
      <x:c r="A3" s="23" t="n">
        <x:v>46251</x:v>
      </x:c>
      <x:c r="B3" s="20" t="str">
        <x:v>CONV-FOUND-002</x:v>
      </x:c>
      <x:c r="C3" s="20" t="str">
        <x:v>KP-001</x:v>
      </x:c>
      <x:c r="D3" s="20" t="str">
        <x:v>Project</x:v>
      </x:c>
      <x:c r="E3" s="20" t="str">
        <x:v>Project</x:v>
      </x:c>
      <x:c r="F3" s="20" t="str">
        <x:v>Correct 正确</x:v>
      </x:c>
      <x:c r="G3" s="20" t="n">
        <x:v>3</x:v>
      </x:c>
      <x:c r="H3" s="20"/>
      <x:c r="I3" s="20" t="str"/>
      <x:c r="J3" s="29" t="str">
        <x:v>能识别新 AI 生产线是独特成果并有完成状态。</x:v>
      </x:c>
      <x:c r="K3" s="23" t="n">
        <x:v>46252</x:v>
      </x:c>
    </x:row>
    <x:row r="4">
      <x:c r="A4" s="24" t="n">
        <x:v>46251</x:v>
      </x:c>
      <x:c r="B4" s="21" t="str">
        <x:v>CONV-FOUND-003</x:v>
      </x:c>
      <x:c r="C4" s="21" t="str">
        <x:v>KP-002</x:v>
      </x:c>
      <x:c r="D4" s="21" t="str">
        <x:v>Operations</x:v>
      </x:c>
      <x:c r="E4" s="21" t="str">
        <x:v>Operations</x:v>
      </x:c>
      <x:c r="F4" s="21" t="str">
        <x:v>Correct 正确</x:v>
      </x:c>
      <x:c r="G4" s="21" t="n">
        <x:v>3</x:v>
      </x:c>
      <x:c r="H4" s="21"/>
      <x:c r="I4" s="21" t="str">
        <x:v>M 混淆</x:v>
      </x:c>
      <x:c r="J4" s="30" t="str">
        <x:v>已识别限时双十一订单处理仍属重复运营；需新变式巩固。</x:v>
      </x:c>
      <x:c r="K4" s="24" t="n">
        <x:v>46252</x:v>
      </x:c>
    </x:row>
    <x:row r="5">
      <x:c r="A5" s="31"/>
      <x:c r="J5" s="32"/>
      <x:c r="K5" s="31"/>
    </x:row>
    <x:row r="6">
      <x:c r="A6" s="31"/>
      <x:c r="J6" s="32"/>
      <x:c r="K6" s="31"/>
    </x:row>
    <x:row r="7">
      <x:c r="A7" s="31"/>
      <x:c r="J7" s="32"/>
      <x:c r="K7" s="31"/>
    </x:row>
    <x:row r="8">
      <x:c r="A8" s="31"/>
      <x:c r="J8" s="32"/>
      <x:c r="K8" s="31"/>
    </x:row>
    <x:row r="9">
      <x:c r="A9" s="31"/>
      <x:c r="J9" s="32"/>
      <x:c r="K9" s="31"/>
    </x:row>
    <x:row r="10">
      <x:c r="A10" s="31"/>
      <x:c r="J10" s="32"/>
      <x:c r="K10" s="31"/>
    </x:row>
    <x:row r="11">
      <x:c r="A11" s="31"/>
      <x:c r="J11" s="32"/>
      <x:c r="K11" s="31"/>
    </x:row>
    <x:row r="12">
      <x:c r="A12" s="31"/>
      <x:c r="J12" s="32"/>
      <x:c r="K12" s="31"/>
    </x:row>
    <x:row r="13">
      <x:c r="A13" s="31"/>
      <x:c r="J13" s="32"/>
      <x:c r="K13" s="31"/>
    </x:row>
    <x:row r="14">
      <x:c r="A14" s="31"/>
      <x:c r="J14" s="32"/>
      <x:c r="K14" s="31"/>
    </x:row>
    <x:row r="15">
      <x:c r="A15" s="31"/>
      <x:c r="J15" s="32"/>
      <x:c r="K15" s="31"/>
    </x:row>
    <x:row r="16">
      <x:c r="A16" s="31"/>
      <x:c r="J16" s="32"/>
      <x:c r="K16" s="31"/>
    </x:row>
    <x:row r="17">
      <x:c r="A17" s="31"/>
      <x:c r="J17" s="32"/>
      <x:c r="K17" s="31"/>
    </x:row>
    <x:row r="18">
      <x:c r="A18" s="31"/>
      <x:c r="J18" s="32"/>
      <x:c r="K18" s="31"/>
    </x:row>
    <x:row r="19">
      <x:c r="A19" s="31"/>
      <x:c r="J19" s="32"/>
      <x:c r="K19" s="31"/>
    </x:row>
    <x:row r="20">
      <x:c r="A20" s="31"/>
      <x:c r="J20" s="32"/>
      <x:c r="K20" s="31"/>
    </x:row>
    <x:row r="21">
      <x:c r="A21" s="31"/>
      <x:c r="J21" s="32"/>
      <x:c r="K21" s="31"/>
    </x:row>
    <x:row r="22">
      <x:c r="A22" s="31"/>
      <x:c r="J22" s="32"/>
      <x:c r="K22" s="31"/>
    </x:row>
    <x:row r="23">
      <x:c r="A23" s="31"/>
      <x:c r="J23" s="32"/>
      <x:c r="K23" s="31"/>
    </x:row>
    <x:row r="24">
      <x:c r="A24" s="31"/>
      <x:c r="J24" s="32"/>
      <x:c r="K24" s="31"/>
    </x:row>
    <x:row r="25">
      <x:c r="A25" s="31"/>
      <x:c r="J25" s="32"/>
      <x:c r="K25" s="31"/>
    </x:row>
    <x:row r="26">
      <x:c r="A26" s="31"/>
      <x:c r="J26" s="32"/>
      <x:c r="K26" s="31"/>
    </x:row>
    <x:row r="27">
      <x:c r="A27" s="31"/>
      <x:c r="J27" s="32"/>
      <x:c r="K27" s="31"/>
    </x:row>
    <x:row r="28">
      <x:c r="A28" s="31"/>
      <x:c r="J28" s="32"/>
      <x:c r="K28" s="31"/>
    </x:row>
    <x:row r="29">
      <x:c r="A29" s="31"/>
      <x:c r="J29" s="32"/>
      <x:c r="K29" s="31"/>
    </x:row>
    <x:row r="30">
      <x:c r="A30" s="31"/>
      <x:c r="J30" s="32"/>
      <x:c r="K30" s="31"/>
    </x:row>
    <x:row r="31">
      <x:c r="A31" s="31"/>
      <x:c r="J31" s="32"/>
      <x:c r="K31" s="31"/>
    </x:row>
    <x:row r="32">
      <x:c r="A32" s="31"/>
      <x:c r="J32" s="32"/>
      <x:c r="K32" s="31"/>
    </x:row>
    <x:row r="33">
      <x:c r="A33" s="31"/>
      <x:c r="J33" s="32"/>
      <x:c r="K33" s="31"/>
    </x:row>
    <x:row r="34">
      <x:c r="A34" s="31"/>
      <x:c r="J34" s="32"/>
      <x:c r="K34" s="31"/>
    </x:row>
    <x:row r="35">
      <x:c r="A35" s="31"/>
      <x:c r="J35" s="32"/>
      <x:c r="K35" s="31"/>
    </x:row>
    <x:row r="36">
      <x:c r="A36" s="31"/>
      <x:c r="J36" s="32"/>
      <x:c r="K36" s="31"/>
    </x:row>
    <x:row r="37">
      <x:c r="A37" s="31"/>
      <x:c r="J37" s="32"/>
      <x:c r="K37" s="31"/>
    </x:row>
    <x:row r="38">
      <x:c r="A38" s="31"/>
      <x:c r="J38" s="32"/>
      <x:c r="K38" s="31"/>
    </x:row>
    <x:row r="39">
      <x:c r="A39" s="31"/>
      <x:c r="J39" s="32"/>
      <x:c r="K39" s="31"/>
    </x:row>
    <x:row r="40">
      <x:c r="A40" s="31"/>
      <x:c r="J40" s="32"/>
      <x:c r="K40" s="31"/>
    </x:row>
    <x:row r="41">
      <x:c r="A41" s="31"/>
      <x:c r="J41" s="32"/>
      <x:c r="K41" s="31"/>
    </x:row>
    <x:row r="42">
      <x:c r="A42" s="31"/>
      <x:c r="J42" s="32"/>
      <x:c r="K42" s="31"/>
    </x:row>
    <x:row r="43">
      <x:c r="A43" s="31"/>
      <x:c r="J43" s="32"/>
      <x:c r="K43" s="31"/>
    </x:row>
    <x:row r="44">
      <x:c r="A44" s="31"/>
      <x:c r="J44" s="32"/>
      <x:c r="K44" s="31"/>
    </x:row>
    <x:row r="45">
      <x:c r="A45" s="31"/>
      <x:c r="J45" s="32"/>
      <x:c r="K45" s="31"/>
    </x:row>
    <x:row r="46">
      <x:c r="A46" s="31"/>
      <x:c r="J46" s="32"/>
      <x:c r="K46" s="31"/>
    </x:row>
    <x:row r="47">
      <x:c r="A47" s="31"/>
      <x:c r="J47" s="32"/>
      <x:c r="K47" s="31"/>
    </x:row>
    <x:row r="48">
      <x:c r="A48" s="31"/>
      <x:c r="J48" s="32"/>
      <x:c r="K48" s="31"/>
    </x:row>
    <x:row r="49">
      <x:c r="A49" s="31"/>
      <x:c r="J49" s="32"/>
      <x:c r="K49" s="31"/>
    </x:row>
    <x:row r="50">
      <x:c r="A50" s="31"/>
      <x:c r="J50" s="32"/>
      <x:c r="K50" s="31"/>
    </x:row>
    <x:row r="51">
      <x:c r="A51" s="31"/>
      <x:c r="J51" s="32"/>
      <x:c r="K51" s="31"/>
    </x:row>
    <x:row r="52">
      <x:c r="A52" s="31"/>
      <x:c r="J52" s="32"/>
      <x:c r="K52" s="31"/>
    </x:row>
    <x:row r="53">
      <x:c r="A53" s="31"/>
      <x:c r="J53" s="32"/>
      <x:c r="K53" s="31"/>
    </x:row>
    <x:row r="54">
      <x:c r="A54" s="31"/>
      <x:c r="J54" s="32"/>
      <x:c r="K54" s="31"/>
    </x:row>
    <x:row r="55">
      <x:c r="A55" s="31"/>
      <x:c r="J55" s="32"/>
      <x:c r="K55" s="31"/>
    </x:row>
    <x:row r="56">
      <x:c r="A56" s="31"/>
      <x:c r="J56" s="32"/>
      <x:c r="K56" s="31"/>
    </x:row>
    <x:row r="57">
      <x:c r="A57" s="31"/>
      <x:c r="J57" s="32"/>
      <x:c r="K57" s="31"/>
    </x:row>
    <x:row r="58">
      <x:c r="A58" s="31"/>
      <x:c r="J58" s="32"/>
      <x:c r="K58" s="31"/>
    </x:row>
    <x:row r="59">
      <x:c r="A59" s="31"/>
      <x:c r="J59" s="32"/>
      <x:c r="K59" s="31"/>
    </x:row>
    <x:row r="60">
      <x:c r="A60" s="31"/>
      <x:c r="J60" s="32"/>
      <x:c r="K60" s="31"/>
    </x:row>
    <x:row r="61">
      <x:c r="A61" s="31"/>
      <x:c r="J61" s="32"/>
      <x:c r="K61" s="31"/>
    </x:row>
    <x:row r="62">
      <x:c r="A62" s="31"/>
      <x:c r="J62" s="32"/>
      <x:c r="K62" s="31"/>
    </x:row>
    <x:row r="63">
      <x:c r="A63" s="31"/>
      <x:c r="J63" s="32"/>
      <x:c r="K63" s="31"/>
    </x:row>
    <x:row r="64">
      <x:c r="A64" s="31"/>
      <x:c r="J64" s="32"/>
      <x:c r="K64" s="31"/>
    </x:row>
    <x:row r="65">
      <x:c r="A65" s="31"/>
      <x:c r="J65" s="32"/>
      <x:c r="K65" s="31"/>
    </x:row>
    <x:row r="66">
      <x:c r="A66" s="31"/>
      <x:c r="J66" s="32"/>
      <x:c r="K66" s="31"/>
    </x:row>
    <x:row r="67">
      <x:c r="A67" s="31"/>
      <x:c r="J67" s="32"/>
      <x:c r="K67" s="31"/>
    </x:row>
    <x:row r="68">
      <x:c r="A68" s="31"/>
      <x:c r="J68" s="32"/>
      <x:c r="K68" s="31"/>
    </x:row>
    <x:row r="69">
      <x:c r="A69" s="31"/>
      <x:c r="J69" s="32"/>
      <x:c r="K69" s="31"/>
    </x:row>
    <x:row r="70">
      <x:c r="A70" s="31"/>
      <x:c r="J70" s="32"/>
      <x:c r="K70" s="31"/>
    </x:row>
    <x:row r="71">
      <x:c r="A71" s="31"/>
      <x:c r="J71" s="32"/>
      <x:c r="K71" s="31"/>
    </x:row>
    <x:row r="72">
      <x:c r="A72" s="31"/>
      <x:c r="J72" s="32"/>
      <x:c r="K72" s="31"/>
    </x:row>
    <x:row r="73">
      <x:c r="A73" s="31"/>
      <x:c r="J73" s="32"/>
      <x:c r="K73" s="31"/>
    </x:row>
    <x:row r="74">
      <x:c r="A74" s="31"/>
      <x:c r="J74" s="32"/>
      <x:c r="K74" s="31"/>
    </x:row>
    <x:row r="75">
      <x:c r="A75" s="31"/>
      <x:c r="J75" s="32"/>
      <x:c r="K75" s="31"/>
    </x:row>
    <x:row r="76">
      <x:c r="A76" s="31"/>
      <x:c r="J76" s="32"/>
      <x:c r="K76" s="31"/>
    </x:row>
    <x:row r="77">
      <x:c r="A77" s="31"/>
      <x:c r="J77" s="32"/>
      <x:c r="K77" s="31"/>
    </x:row>
    <x:row r="78">
      <x:c r="A78" s="31"/>
      <x:c r="J78" s="32"/>
      <x:c r="K78" s="31"/>
    </x:row>
    <x:row r="79">
      <x:c r="A79" s="31"/>
      <x:c r="J79" s="32"/>
      <x:c r="K79" s="31"/>
    </x:row>
    <x:row r="80">
      <x:c r="A80" s="31"/>
      <x:c r="J80" s="32"/>
      <x:c r="K80" s="31"/>
    </x:row>
    <x:row r="81">
      <x:c r="A81" s="31"/>
      <x:c r="J81" s="32"/>
      <x:c r="K81" s="31"/>
    </x:row>
    <x:row r="82">
      <x:c r="A82" s="31"/>
      <x:c r="J82" s="32"/>
      <x:c r="K82" s="31"/>
    </x:row>
    <x:row r="83">
      <x:c r="A83" s="31"/>
      <x:c r="J83" s="32"/>
      <x:c r="K83" s="31"/>
    </x:row>
    <x:row r="84">
      <x:c r="A84" s="31"/>
      <x:c r="J84" s="32"/>
      <x:c r="K84" s="31"/>
    </x:row>
    <x:row r="85">
      <x:c r="A85" s="31"/>
      <x:c r="J85" s="32"/>
      <x:c r="K85" s="31"/>
    </x:row>
    <x:row r="86">
      <x:c r="A86" s="31"/>
      <x:c r="J86" s="32"/>
      <x:c r="K86" s="31"/>
    </x:row>
    <x:row r="87">
      <x:c r="A87" s="31"/>
      <x:c r="J87" s="32"/>
      <x:c r="K87" s="31"/>
    </x:row>
    <x:row r="88">
      <x:c r="A88" s="31"/>
      <x:c r="J88" s="32"/>
      <x:c r="K88" s="31"/>
    </x:row>
    <x:row r="89">
      <x:c r="A89" s="31"/>
      <x:c r="J89" s="32"/>
      <x:c r="K89" s="31"/>
    </x:row>
    <x:row r="90">
      <x:c r="A90" s="31"/>
      <x:c r="J90" s="32"/>
      <x:c r="K90" s="31"/>
    </x:row>
    <x:row r="91">
      <x:c r="A91" s="31"/>
      <x:c r="J91" s="32"/>
      <x:c r="K91" s="31"/>
    </x:row>
    <x:row r="92">
      <x:c r="A92" s="31"/>
      <x:c r="J92" s="32"/>
      <x:c r="K92" s="31"/>
    </x:row>
    <x:row r="93">
      <x:c r="A93" s="31"/>
      <x:c r="J93" s="32"/>
      <x:c r="K93" s="31"/>
    </x:row>
    <x:row r="94">
      <x:c r="A94" s="31"/>
      <x:c r="J94" s="32"/>
      <x:c r="K94" s="31"/>
    </x:row>
    <x:row r="95">
      <x:c r="A95" s="31"/>
      <x:c r="J95" s="32"/>
      <x:c r="K95" s="31"/>
    </x:row>
    <x:row r="96">
      <x:c r="A96" s="31"/>
      <x:c r="J96" s="32"/>
      <x:c r="K96" s="31"/>
    </x:row>
    <x:row r="97">
      <x:c r="A97" s="31"/>
      <x:c r="J97" s="32"/>
      <x:c r="K97" s="31"/>
    </x:row>
    <x:row r="98">
      <x:c r="A98" s="31"/>
      <x:c r="J98" s="32"/>
      <x:c r="K98" s="31"/>
    </x:row>
    <x:row r="99">
      <x:c r="A99" s="31"/>
      <x:c r="J99" s="32"/>
      <x:c r="K99" s="31"/>
    </x:row>
    <x:row r="100">
      <x:c r="A100" s="31"/>
      <x:c r="J100" s="32"/>
      <x:c r="K100" s="31"/>
    </x:row>
    <x:row r="101">
      <x:c r="A101" s="31"/>
      <x:c r="J101" s="32"/>
      <x:c r="K101" s="31"/>
    </x:row>
    <x:row r="102">
      <x:c r="A102" s="31"/>
      <x:c r="J102" s="32"/>
      <x:c r="K102" s="31"/>
    </x:row>
    <x:row r="103">
      <x:c r="A103" s="31"/>
      <x:c r="J103" s="32"/>
      <x:c r="K103" s="31"/>
    </x:row>
    <x:row r="104">
      <x:c r="A104" s="31"/>
      <x:c r="J104" s="32"/>
      <x:c r="K104" s="31"/>
    </x:row>
    <x:row r="105">
      <x:c r="A105" s="31"/>
      <x:c r="J105" s="32"/>
      <x:c r="K105" s="31"/>
    </x:row>
    <x:row r="106">
      <x:c r="A106" s="31"/>
      <x:c r="J106" s="32"/>
      <x:c r="K106" s="31"/>
    </x:row>
    <x:row r="107">
      <x:c r="A107" s="31"/>
      <x:c r="J107" s="32"/>
      <x:c r="K107" s="31"/>
    </x:row>
    <x:row r="108">
      <x:c r="A108" s="31"/>
      <x:c r="J108" s="32"/>
      <x:c r="K108" s="31"/>
    </x:row>
    <x:row r="109">
      <x:c r="A109" s="31"/>
      <x:c r="J109" s="32"/>
      <x:c r="K109" s="31"/>
    </x:row>
    <x:row r="110">
      <x:c r="A110" s="31"/>
      <x:c r="J110" s="32"/>
      <x:c r="K110" s="31"/>
    </x:row>
    <x:row r="111">
      <x:c r="A111" s="31"/>
      <x:c r="J111" s="32"/>
      <x:c r="K111" s="31"/>
    </x:row>
    <x:row r="112">
      <x:c r="A112" s="31"/>
      <x:c r="J112" s="32"/>
      <x:c r="K112" s="31"/>
    </x:row>
    <x:row r="113">
      <x:c r="A113" s="31"/>
      <x:c r="J113" s="32"/>
      <x:c r="K113" s="31"/>
    </x:row>
    <x:row r="114">
      <x:c r="A114" s="31"/>
      <x:c r="J114" s="32"/>
      <x:c r="K114" s="31"/>
    </x:row>
    <x:row r="115">
      <x:c r="A115" s="31"/>
      <x:c r="J115" s="32"/>
      <x:c r="K115" s="31"/>
    </x:row>
    <x:row r="116">
      <x:c r="A116" s="31"/>
      <x:c r="J116" s="32"/>
      <x:c r="K116" s="31"/>
    </x:row>
    <x:row r="117">
      <x:c r="A117" s="31"/>
      <x:c r="J117" s="32"/>
      <x:c r="K117" s="31"/>
    </x:row>
    <x:row r="118">
      <x:c r="A118" s="31"/>
      <x:c r="J118" s="32"/>
      <x:c r="K118" s="31"/>
    </x:row>
    <x:row r="119">
      <x:c r="A119" s="31"/>
      <x:c r="J119" s="32"/>
      <x:c r="K119" s="31"/>
    </x:row>
    <x:row r="120">
      <x:c r="A120" s="31"/>
      <x:c r="J120" s="32"/>
      <x:c r="K120" s="31"/>
    </x:row>
    <x:row r="121">
      <x:c r="A121" s="31"/>
      <x:c r="J121" s="32"/>
      <x:c r="K121" s="31"/>
    </x:row>
    <x:row r="122">
      <x:c r="A122" s="31"/>
      <x:c r="J122" s="32"/>
      <x:c r="K122" s="31"/>
    </x:row>
    <x:row r="123">
      <x:c r="A123" s="31"/>
      <x:c r="J123" s="32"/>
      <x:c r="K123" s="31"/>
    </x:row>
    <x:row r="124">
      <x:c r="A124" s="31"/>
      <x:c r="J124" s="32"/>
      <x:c r="K124" s="31"/>
    </x:row>
    <x:row r="125">
      <x:c r="A125" s="31"/>
      <x:c r="J125" s="32"/>
      <x:c r="K125" s="31"/>
    </x:row>
    <x:row r="126">
      <x:c r="A126" s="31"/>
      <x:c r="J126" s="32"/>
      <x:c r="K126" s="31"/>
    </x:row>
    <x:row r="127">
      <x:c r="A127" s="31"/>
      <x:c r="J127" s="32"/>
      <x:c r="K127" s="31"/>
    </x:row>
    <x:row r="128">
      <x:c r="A128" s="31"/>
      <x:c r="J128" s="32"/>
      <x:c r="K128" s="31"/>
    </x:row>
    <x:row r="129">
      <x:c r="A129" s="31"/>
      <x:c r="J129" s="32"/>
      <x:c r="K129" s="31"/>
    </x:row>
    <x:row r="130">
      <x:c r="A130" s="31"/>
      <x:c r="J130" s="32"/>
      <x:c r="K130" s="31"/>
    </x:row>
    <x:row r="131">
      <x:c r="A131" s="31"/>
      <x:c r="J131" s="32"/>
      <x:c r="K131" s="31"/>
    </x:row>
    <x:row r="132">
      <x:c r="A132" s="31"/>
      <x:c r="J132" s="32"/>
      <x:c r="K132" s="31"/>
    </x:row>
    <x:row r="133">
      <x:c r="A133" s="31"/>
      <x:c r="J133" s="32"/>
      <x:c r="K133" s="31"/>
    </x:row>
    <x:row r="134">
      <x:c r="A134" s="31"/>
      <x:c r="J134" s="32"/>
      <x:c r="K134" s="31"/>
    </x:row>
    <x:row r="135">
      <x:c r="A135" s="31"/>
      <x:c r="J135" s="32"/>
      <x:c r="K135" s="31"/>
    </x:row>
    <x:row r="136">
      <x:c r="A136" s="31"/>
      <x:c r="J136" s="32"/>
      <x:c r="K136" s="31"/>
    </x:row>
    <x:row r="137">
      <x:c r="A137" s="31"/>
      <x:c r="J137" s="32"/>
      <x:c r="K137" s="31"/>
    </x:row>
    <x:row r="138">
      <x:c r="A138" s="31"/>
      <x:c r="J138" s="32"/>
      <x:c r="K138" s="31"/>
    </x:row>
    <x:row r="139">
      <x:c r="A139" s="31"/>
      <x:c r="J139" s="32"/>
      <x:c r="K139" s="31"/>
    </x:row>
    <x:row r="140">
      <x:c r="A140" s="31"/>
      <x:c r="J140" s="32"/>
      <x:c r="K140" s="31"/>
    </x:row>
    <x:row r="141">
      <x:c r="A141" s="31"/>
      <x:c r="J141" s="32"/>
      <x:c r="K141" s="31"/>
    </x:row>
    <x:row r="142">
      <x:c r="A142" s="31"/>
      <x:c r="J142" s="32"/>
      <x:c r="K142" s="31"/>
    </x:row>
    <x:row r="143">
      <x:c r="A143" s="31"/>
      <x:c r="J143" s="32"/>
      <x:c r="K143" s="31"/>
    </x:row>
    <x:row r="144">
      <x:c r="A144" s="31"/>
      <x:c r="J144" s="32"/>
      <x:c r="K144" s="31"/>
    </x:row>
    <x:row r="145">
      <x:c r="A145" s="31"/>
      <x:c r="J145" s="32"/>
      <x:c r="K145" s="31"/>
    </x:row>
    <x:row r="146">
      <x:c r="A146" s="31"/>
      <x:c r="J146" s="32"/>
      <x:c r="K146" s="31"/>
    </x:row>
    <x:row r="147">
      <x:c r="A147" s="31"/>
      <x:c r="J147" s="32"/>
      <x:c r="K147" s="31"/>
    </x:row>
    <x:row r="148">
      <x:c r="A148" s="31"/>
      <x:c r="J148" s="32"/>
      <x:c r="K148" s="31"/>
    </x:row>
    <x:row r="149">
      <x:c r="A149" s="31"/>
      <x:c r="J149" s="32"/>
      <x:c r="K149" s="31"/>
    </x:row>
    <x:row r="150">
      <x:c r="A150" s="31"/>
      <x:c r="J150" s="32"/>
      <x:c r="K150" s="31"/>
    </x:row>
    <x:row r="151">
      <x:c r="A151" s="31"/>
      <x:c r="J151" s="32"/>
      <x:c r="K151" s="31"/>
    </x:row>
    <x:row r="152">
      <x:c r="A152" s="31"/>
      <x:c r="J152" s="32"/>
      <x:c r="K152" s="31"/>
    </x:row>
    <x:row r="153">
      <x:c r="A153" s="31"/>
      <x:c r="J153" s="32"/>
      <x:c r="K153" s="31"/>
    </x:row>
    <x:row r="154">
      <x:c r="A154" s="31"/>
      <x:c r="J154" s="32"/>
      <x:c r="K154" s="31"/>
    </x:row>
    <x:row r="155">
      <x:c r="A155" s="31"/>
      <x:c r="J155" s="32"/>
      <x:c r="K155" s="31"/>
    </x:row>
    <x:row r="156">
      <x:c r="A156" s="31"/>
      <x:c r="J156" s="32"/>
      <x:c r="K156" s="31"/>
    </x:row>
    <x:row r="157">
      <x:c r="A157" s="31"/>
      <x:c r="J157" s="32"/>
      <x:c r="K157" s="31"/>
    </x:row>
    <x:row r="158">
      <x:c r="A158" s="31"/>
      <x:c r="J158" s="32"/>
      <x:c r="K158" s="31"/>
    </x:row>
    <x:row r="159">
      <x:c r="A159" s="31"/>
      <x:c r="J159" s="32"/>
      <x:c r="K159" s="31"/>
    </x:row>
    <x:row r="160">
      <x:c r="A160" s="31"/>
      <x:c r="J160" s="32"/>
      <x:c r="K160" s="31"/>
    </x:row>
    <x:row r="161">
      <x:c r="A161" s="31"/>
      <x:c r="J161" s="32"/>
      <x:c r="K161" s="31"/>
    </x:row>
    <x:row r="162">
      <x:c r="A162" s="31"/>
      <x:c r="J162" s="32"/>
      <x:c r="K162" s="31"/>
    </x:row>
    <x:row r="163">
      <x:c r="A163" s="31"/>
      <x:c r="J163" s="32"/>
      <x:c r="K163" s="31"/>
    </x:row>
    <x:row r="164">
      <x:c r="A164" s="31"/>
      <x:c r="J164" s="32"/>
      <x:c r="K164" s="31"/>
    </x:row>
    <x:row r="165">
      <x:c r="A165" s="31"/>
      <x:c r="J165" s="32"/>
      <x:c r="K165" s="31"/>
    </x:row>
    <x:row r="166">
      <x:c r="A166" s="31"/>
      <x:c r="J166" s="32"/>
      <x:c r="K166" s="31"/>
    </x:row>
    <x:row r="167">
      <x:c r="A167" s="31"/>
      <x:c r="J167" s="32"/>
      <x:c r="K167" s="31"/>
    </x:row>
    <x:row r="168">
      <x:c r="A168" s="31"/>
      <x:c r="J168" s="32"/>
      <x:c r="K168" s="31"/>
    </x:row>
    <x:row r="169">
      <x:c r="A169" s="31"/>
      <x:c r="J169" s="32"/>
      <x:c r="K169" s="31"/>
    </x:row>
    <x:row r="170">
      <x:c r="A170" s="31"/>
      <x:c r="J170" s="32"/>
      <x:c r="K170" s="31"/>
    </x:row>
    <x:row r="171">
      <x:c r="A171" s="31"/>
      <x:c r="J171" s="32"/>
      <x:c r="K171" s="31"/>
    </x:row>
    <x:row r="172">
      <x:c r="A172" s="31"/>
      <x:c r="J172" s="32"/>
      <x:c r="K172" s="31"/>
    </x:row>
    <x:row r="173">
      <x:c r="A173" s="31"/>
      <x:c r="J173" s="32"/>
      <x:c r="K173" s="31"/>
    </x:row>
    <x:row r="174">
      <x:c r="A174" s="31"/>
      <x:c r="J174" s="32"/>
      <x:c r="K174" s="31"/>
    </x:row>
    <x:row r="175">
      <x:c r="A175" s="31"/>
      <x:c r="J175" s="32"/>
      <x:c r="K175" s="31"/>
    </x:row>
    <x:row r="176">
      <x:c r="A176" s="31"/>
      <x:c r="J176" s="32"/>
      <x:c r="K176" s="31"/>
    </x:row>
    <x:row r="177">
      <x:c r="A177" s="31"/>
      <x:c r="J177" s="32"/>
      <x:c r="K177" s="31"/>
    </x:row>
    <x:row r="178">
      <x:c r="A178" s="31"/>
      <x:c r="J178" s="32"/>
      <x:c r="K178" s="31"/>
    </x:row>
    <x:row r="179">
      <x:c r="A179" s="31"/>
      <x:c r="J179" s="32"/>
      <x:c r="K179" s="31"/>
    </x:row>
    <x:row r="180">
      <x:c r="A180" s="31"/>
      <x:c r="J180" s="32"/>
      <x:c r="K180" s="31"/>
    </x:row>
    <x:row r="181">
      <x:c r="A181" s="31"/>
      <x:c r="J181" s="32"/>
      <x:c r="K181" s="31"/>
    </x:row>
    <x:row r="182">
      <x:c r="A182" s="31"/>
      <x:c r="J182" s="32"/>
      <x:c r="K182" s="31"/>
    </x:row>
    <x:row r="183">
      <x:c r="A183" s="31"/>
      <x:c r="J183" s="32"/>
      <x:c r="K183" s="31"/>
    </x:row>
    <x:row r="184">
      <x:c r="A184" s="31"/>
      <x:c r="J184" s="32"/>
      <x:c r="K184" s="31"/>
    </x:row>
    <x:row r="185">
      <x:c r="A185" s="31"/>
      <x:c r="J185" s="32"/>
      <x:c r="K185" s="31"/>
    </x:row>
    <x:row r="186">
      <x:c r="A186" s="31"/>
      <x:c r="J186" s="32"/>
      <x:c r="K186" s="31"/>
    </x:row>
    <x:row r="187">
      <x:c r="A187" s="31"/>
      <x:c r="J187" s="32"/>
      <x:c r="K187" s="31"/>
    </x:row>
    <x:row r="188">
      <x:c r="A188" s="31"/>
      <x:c r="J188" s="32"/>
      <x:c r="K188" s="31"/>
    </x:row>
    <x:row r="189">
      <x:c r="A189" s="31"/>
      <x:c r="J189" s="32"/>
      <x:c r="K189" s="31"/>
    </x:row>
    <x:row r="190">
      <x:c r="A190" s="31"/>
      <x:c r="J190" s="32"/>
      <x:c r="K190" s="31"/>
    </x:row>
    <x:row r="191">
      <x:c r="A191" s="31"/>
      <x:c r="J191" s="32"/>
      <x:c r="K191" s="31"/>
    </x:row>
    <x:row r="192">
      <x:c r="A192" s="31"/>
      <x:c r="J192" s="32"/>
      <x:c r="K192" s="31"/>
    </x:row>
    <x:row r="193">
      <x:c r="A193" s="31"/>
      <x:c r="J193" s="32"/>
      <x:c r="K193" s="31"/>
    </x:row>
    <x:row r="194">
      <x:c r="A194" s="31"/>
      <x:c r="J194" s="32"/>
      <x:c r="K194" s="31"/>
    </x:row>
    <x:row r="195">
      <x:c r="A195" s="31"/>
      <x:c r="J195" s="32"/>
      <x:c r="K195" s="31"/>
    </x:row>
    <x:row r="196">
      <x:c r="A196" s="31"/>
      <x:c r="J196" s="32"/>
      <x:c r="K196" s="31"/>
    </x:row>
    <x:row r="197">
      <x:c r="A197" s="31"/>
      <x:c r="J197" s="32"/>
      <x:c r="K197" s="31"/>
    </x:row>
    <x:row r="198">
      <x:c r="A198" s="31"/>
      <x:c r="J198" s="32"/>
      <x:c r="K198" s="31"/>
    </x:row>
    <x:row r="199">
      <x:c r="A199" s="31"/>
      <x:c r="J199" s="32"/>
      <x:c r="K199" s="31"/>
    </x:row>
    <x:row r="200">
      <x:c r="A200" s="31"/>
      <x:c r="J200" s="32"/>
      <x:c r="K200" s="31"/>
    </x:row>
    <x:row r="201">
      <x:c r="A201" s="31"/>
      <x:c r="J201" s="32"/>
      <x:c r="K201" s="31"/>
    </x:row>
    <x:row r="202">
      <x:c r="A202" s="31"/>
      <x:c r="J202" s="32"/>
      <x:c r="K202" s="31"/>
    </x:row>
    <x:row r="203">
      <x:c r="A203" s="31"/>
      <x:c r="J203" s="32"/>
      <x:c r="K203" s="31"/>
    </x:row>
    <x:row r="204">
      <x:c r="A204" s="31"/>
      <x:c r="J204" s="32"/>
      <x:c r="K204" s="31"/>
    </x:row>
    <x:row r="205">
      <x:c r="A205" s="31"/>
      <x:c r="J205" s="32"/>
      <x:c r="K205" s="31"/>
    </x:row>
    <x:row r="206">
      <x:c r="A206" s="31"/>
      <x:c r="J206" s="32"/>
      <x:c r="K206" s="31"/>
    </x:row>
    <x:row r="207">
      <x:c r="A207" s="31"/>
      <x:c r="J207" s="32"/>
      <x:c r="K207" s="31"/>
    </x:row>
    <x:row r="208">
      <x:c r="A208" s="31"/>
      <x:c r="J208" s="32"/>
      <x:c r="K208" s="31"/>
    </x:row>
    <x:row r="209">
      <x:c r="A209" s="31"/>
      <x:c r="J209" s="32"/>
      <x:c r="K209" s="31"/>
    </x:row>
    <x:row r="210">
      <x:c r="A210" s="31"/>
      <x:c r="J210" s="32"/>
      <x:c r="K210" s="31"/>
    </x:row>
    <x:row r="211">
      <x:c r="A211" s="31"/>
      <x:c r="J211" s="32"/>
      <x:c r="K211" s="31"/>
    </x:row>
    <x:row r="212">
      <x:c r="A212" s="31"/>
      <x:c r="J212" s="32"/>
      <x:c r="K212" s="31"/>
    </x:row>
    <x:row r="213">
      <x:c r="A213" s="31"/>
      <x:c r="J213" s="32"/>
      <x:c r="K213" s="31"/>
    </x:row>
    <x:row r="214">
      <x:c r="A214" s="31"/>
      <x:c r="J214" s="32"/>
      <x:c r="K214" s="31"/>
    </x:row>
    <x:row r="215">
      <x:c r="A215" s="31"/>
      <x:c r="J215" s="32"/>
      <x:c r="K215" s="31"/>
    </x:row>
    <x:row r="216">
      <x:c r="A216" s="31"/>
      <x:c r="J216" s="32"/>
      <x:c r="K216" s="31"/>
    </x:row>
    <x:row r="217">
      <x:c r="A217" s="31"/>
      <x:c r="J217" s="32"/>
      <x:c r="K217" s="31"/>
    </x:row>
    <x:row r="218">
      <x:c r="A218" s="31"/>
      <x:c r="J218" s="32"/>
      <x:c r="K218" s="31"/>
    </x:row>
    <x:row r="219">
      <x:c r="A219" s="31"/>
      <x:c r="J219" s="32"/>
      <x:c r="K219" s="31"/>
    </x:row>
    <x:row r="220">
      <x:c r="A220" s="31"/>
      <x:c r="J220" s="32"/>
      <x:c r="K220" s="31"/>
    </x:row>
    <x:row r="221">
      <x:c r="A221" s="31"/>
      <x:c r="J221" s="32"/>
      <x:c r="K221" s="31"/>
    </x:row>
    <x:row r="222">
      <x:c r="A222" s="31"/>
      <x:c r="J222" s="32"/>
      <x:c r="K222" s="31"/>
    </x:row>
    <x:row r="223">
      <x:c r="A223" s="31"/>
      <x:c r="J223" s="32"/>
      <x:c r="K223" s="31"/>
    </x:row>
    <x:row r="224">
      <x:c r="A224" s="31"/>
      <x:c r="J224" s="32"/>
      <x:c r="K224" s="31"/>
    </x:row>
    <x:row r="225">
      <x:c r="A225" s="31"/>
      <x:c r="J225" s="32"/>
      <x:c r="K225" s="31"/>
    </x:row>
    <x:row r="226">
      <x:c r="A226" s="31"/>
      <x:c r="J226" s="32"/>
      <x:c r="K226" s="31"/>
    </x:row>
    <x:row r="227">
      <x:c r="A227" s="31"/>
      <x:c r="J227" s="32"/>
      <x:c r="K227" s="31"/>
    </x:row>
    <x:row r="228">
      <x:c r="A228" s="31"/>
      <x:c r="J228" s="32"/>
      <x:c r="K228" s="31"/>
    </x:row>
    <x:row r="229">
      <x:c r="A229" s="31"/>
      <x:c r="J229" s="32"/>
      <x:c r="K229" s="31"/>
    </x:row>
    <x:row r="230">
      <x:c r="A230" s="31"/>
      <x:c r="J230" s="32"/>
      <x:c r="K230" s="31"/>
    </x:row>
    <x:row r="231">
      <x:c r="A231" s="31"/>
      <x:c r="J231" s="32"/>
      <x:c r="K231" s="31"/>
    </x:row>
    <x:row r="232">
      <x:c r="A232" s="31"/>
      <x:c r="J232" s="32"/>
      <x:c r="K232" s="31"/>
    </x:row>
    <x:row r="233">
      <x:c r="A233" s="31"/>
      <x:c r="J233" s="32"/>
      <x:c r="K233" s="31"/>
    </x:row>
    <x:row r="234">
      <x:c r="A234" s="31"/>
      <x:c r="J234" s="32"/>
      <x:c r="K234" s="31"/>
    </x:row>
    <x:row r="235">
      <x:c r="A235" s="31"/>
      <x:c r="J235" s="32"/>
      <x:c r="K235" s="31"/>
    </x:row>
    <x:row r="236">
      <x:c r="A236" s="31"/>
      <x:c r="J236" s="32"/>
      <x:c r="K236" s="31"/>
    </x:row>
    <x:row r="237">
      <x:c r="A237" s="31"/>
      <x:c r="J237" s="32"/>
      <x:c r="K237" s="31"/>
    </x:row>
    <x:row r="238">
      <x:c r="A238" s="31"/>
      <x:c r="J238" s="32"/>
      <x:c r="K238" s="31"/>
    </x:row>
    <x:row r="239">
      <x:c r="A239" s="31"/>
      <x:c r="J239" s="32"/>
      <x:c r="K239" s="31"/>
    </x:row>
    <x:row r="240">
      <x:c r="A240" s="31"/>
      <x:c r="J240" s="32"/>
      <x:c r="K240" s="31"/>
    </x:row>
    <x:row r="241">
      <x:c r="A241" s="31"/>
      <x:c r="J241" s="32"/>
      <x:c r="K241" s="31"/>
    </x:row>
    <x:row r="242">
      <x:c r="A242" s="31"/>
      <x:c r="J242" s="32"/>
      <x:c r="K242" s="31"/>
    </x:row>
    <x:row r="243">
      <x:c r="A243" s="31"/>
      <x:c r="J243" s="32"/>
      <x:c r="K243" s="31"/>
    </x:row>
    <x:row r="244">
      <x:c r="A244" s="31"/>
      <x:c r="J244" s="32"/>
      <x:c r="K244" s="31"/>
    </x:row>
    <x:row r="245">
      <x:c r="A245" s="31"/>
      <x:c r="J245" s="32"/>
      <x:c r="K245" s="31"/>
    </x:row>
    <x:row r="246">
      <x:c r="A246" s="31"/>
      <x:c r="J246" s="32"/>
      <x:c r="K246" s="31"/>
    </x:row>
    <x:row r="247">
      <x:c r="A247" s="31"/>
      <x:c r="J247" s="32"/>
      <x:c r="K247" s="31"/>
    </x:row>
    <x:row r="248">
      <x:c r="A248" s="31"/>
      <x:c r="J248" s="32"/>
      <x:c r="K248" s="31"/>
    </x:row>
    <x:row r="249">
      <x:c r="A249" s="31"/>
      <x:c r="J249" s="32"/>
      <x:c r="K249" s="31"/>
    </x:row>
    <x:row r="250">
      <x:c r="A250" s="31"/>
      <x:c r="J250" s="32"/>
      <x:c r="K250" s="31"/>
    </x:row>
    <x:row r="251">
      <x:c r="A251" s="31"/>
      <x:c r="J251" s="32"/>
      <x:c r="K251" s="31"/>
    </x:row>
    <x:row r="252">
      <x:c r="A252" s="31"/>
      <x:c r="J252" s="32"/>
      <x:c r="K252" s="31"/>
    </x:row>
    <x:row r="253">
      <x:c r="A253" s="31"/>
      <x:c r="J253" s="32"/>
      <x:c r="K253" s="31"/>
    </x:row>
    <x:row r="254">
      <x:c r="A254" s="31"/>
      <x:c r="J254" s="32"/>
      <x:c r="K254" s="31"/>
    </x:row>
    <x:row r="255">
      <x:c r="A255" s="31"/>
      <x:c r="J255" s="32"/>
      <x:c r="K255" s="31"/>
    </x:row>
    <x:row r="256">
      <x:c r="A256" s="31"/>
      <x:c r="J256" s="32"/>
      <x:c r="K256" s="31"/>
    </x:row>
    <x:row r="257">
      <x:c r="A257" s="31"/>
      <x:c r="J257" s="32"/>
      <x:c r="K257" s="31"/>
    </x:row>
    <x:row r="258">
      <x:c r="A258" s="31"/>
      <x:c r="J258" s="32"/>
      <x:c r="K258" s="31"/>
    </x:row>
    <x:row r="259">
      <x:c r="A259" s="31"/>
      <x:c r="J259" s="32"/>
      <x:c r="K259" s="31"/>
    </x:row>
    <x:row r="260">
      <x:c r="A260" s="31"/>
      <x:c r="J260" s="32"/>
      <x:c r="K260" s="31"/>
    </x:row>
    <x:row r="261">
      <x:c r="A261" s="31"/>
      <x:c r="J261" s="32"/>
      <x:c r="K261" s="31"/>
    </x:row>
    <x:row r="262">
      <x:c r="A262" s="31"/>
      <x:c r="J262" s="32"/>
      <x:c r="K262" s="31"/>
    </x:row>
    <x:row r="263">
      <x:c r="A263" s="31"/>
      <x:c r="J263" s="32"/>
      <x:c r="K263" s="31"/>
    </x:row>
    <x:row r="264">
      <x:c r="A264" s="31"/>
      <x:c r="J264" s="32"/>
      <x:c r="K264" s="31"/>
    </x:row>
    <x:row r="265">
      <x:c r="A265" s="31"/>
      <x:c r="J265" s="32"/>
      <x:c r="K265" s="31"/>
    </x:row>
    <x:row r="266">
      <x:c r="A266" s="31"/>
      <x:c r="J266" s="32"/>
      <x:c r="K266" s="31"/>
    </x:row>
    <x:row r="267">
      <x:c r="A267" s="31"/>
      <x:c r="J267" s="32"/>
      <x:c r="K267" s="31"/>
    </x:row>
    <x:row r="268">
      <x:c r="A268" s="31"/>
      <x:c r="J268" s="32"/>
      <x:c r="K268" s="31"/>
    </x:row>
    <x:row r="269">
      <x:c r="A269" s="31"/>
      <x:c r="J269" s="32"/>
      <x:c r="K269" s="31"/>
    </x:row>
    <x:row r="270">
      <x:c r="A270" s="31"/>
      <x:c r="J270" s="32"/>
      <x:c r="K270" s="31"/>
    </x:row>
    <x:row r="271">
      <x:c r="A271" s="31"/>
      <x:c r="J271" s="32"/>
      <x:c r="K271" s="31"/>
    </x:row>
    <x:row r="272">
      <x:c r="A272" s="31"/>
      <x:c r="J272" s="32"/>
      <x:c r="K272" s="31"/>
    </x:row>
    <x:row r="273">
      <x:c r="A273" s="31"/>
      <x:c r="J273" s="32"/>
      <x:c r="K273" s="31"/>
    </x:row>
    <x:row r="274">
      <x:c r="A274" s="31"/>
      <x:c r="J274" s="32"/>
      <x:c r="K274" s="31"/>
    </x:row>
    <x:row r="275">
      <x:c r="A275" s="31"/>
      <x:c r="J275" s="32"/>
      <x:c r="K275" s="31"/>
    </x:row>
    <x:row r="276">
      <x:c r="A276" s="31"/>
      <x:c r="J276" s="32"/>
      <x:c r="K276" s="31"/>
    </x:row>
    <x:row r="277">
      <x:c r="A277" s="31"/>
      <x:c r="J277" s="32"/>
      <x:c r="K277" s="31"/>
    </x:row>
    <x:row r="278">
      <x:c r="A278" s="31"/>
      <x:c r="J278" s="32"/>
      <x:c r="K278" s="31"/>
    </x:row>
    <x:row r="279">
      <x:c r="A279" s="31"/>
      <x:c r="J279" s="32"/>
      <x:c r="K279" s="31"/>
    </x:row>
    <x:row r="280">
      <x:c r="A280" s="31"/>
      <x:c r="J280" s="32"/>
      <x:c r="K280" s="31"/>
    </x:row>
    <x:row r="281">
      <x:c r="A281" s="31"/>
      <x:c r="J281" s="32"/>
      <x:c r="K281" s="31"/>
    </x:row>
    <x:row r="282">
      <x:c r="A282" s="31"/>
      <x:c r="J282" s="32"/>
      <x:c r="K282" s="31"/>
    </x:row>
    <x:row r="283">
      <x:c r="A283" s="31"/>
      <x:c r="J283" s="32"/>
      <x:c r="K283" s="31"/>
    </x:row>
    <x:row r="284">
      <x:c r="A284" s="31"/>
      <x:c r="J284" s="32"/>
      <x:c r="K284" s="31"/>
    </x:row>
    <x:row r="285">
      <x:c r="A285" s="31"/>
      <x:c r="J285" s="32"/>
      <x:c r="K285" s="31"/>
    </x:row>
    <x:row r="286">
      <x:c r="A286" s="31"/>
      <x:c r="J286" s="32"/>
      <x:c r="K286" s="31"/>
    </x:row>
    <x:row r="287">
      <x:c r="A287" s="31"/>
      <x:c r="J287" s="32"/>
      <x:c r="K287" s="31"/>
    </x:row>
    <x:row r="288">
      <x:c r="A288" s="31"/>
      <x:c r="J288" s="32"/>
      <x:c r="K288" s="31"/>
    </x:row>
    <x:row r="289">
      <x:c r="A289" s="31"/>
      <x:c r="J289" s="32"/>
      <x:c r="K289" s="31"/>
    </x:row>
    <x:row r="290">
      <x:c r="A290" s="31"/>
      <x:c r="J290" s="32"/>
      <x:c r="K290" s="31"/>
    </x:row>
    <x:row r="291">
      <x:c r="A291" s="31"/>
      <x:c r="J291" s="32"/>
      <x:c r="K291" s="31"/>
    </x:row>
    <x:row r="292">
      <x:c r="A292" s="31"/>
      <x:c r="J292" s="32"/>
      <x:c r="K292" s="31"/>
    </x:row>
    <x:row r="293">
      <x:c r="A293" s="31"/>
      <x:c r="J293" s="32"/>
      <x:c r="K293" s="31"/>
    </x:row>
    <x:row r="294">
      <x:c r="A294" s="31"/>
      <x:c r="J294" s="32"/>
      <x:c r="K294" s="31"/>
    </x:row>
    <x:row r="295">
      <x:c r="A295" s="31"/>
      <x:c r="J295" s="32"/>
      <x:c r="K295" s="31"/>
    </x:row>
    <x:row r="296">
      <x:c r="A296" s="31"/>
      <x:c r="J296" s="32"/>
      <x:c r="K296" s="31"/>
    </x:row>
    <x:row r="297">
      <x:c r="A297" s="31"/>
      <x:c r="J297" s="32"/>
      <x:c r="K297" s="31"/>
    </x:row>
    <x:row r="298">
      <x:c r="A298" s="31"/>
      <x:c r="J298" s="32"/>
      <x:c r="K298" s="31"/>
    </x:row>
    <x:row r="299">
      <x:c r="A299" s="31"/>
      <x:c r="J299" s="32"/>
      <x:c r="K299" s="31"/>
    </x:row>
    <x:row r="300">
      <x:c r="A300" s="31"/>
      <x:c r="J300" s="32"/>
      <x:c r="K300" s="31"/>
    </x:row>
    <x:row r="301">
      <x:c r="A301" s="31"/>
      <x:c r="J301" s="32"/>
      <x:c r="K301" s="31"/>
    </x:row>
    <x:row r="302">
      <x:c r="A302" s="31"/>
      <x:c r="J302" s="32"/>
      <x:c r="K302" s="31"/>
    </x:row>
    <x:row r="303">
      <x:c r="A303" s="31"/>
      <x:c r="J303" s="32"/>
      <x:c r="K303" s="31"/>
    </x:row>
    <x:row r="304">
      <x:c r="A304" s="31"/>
      <x:c r="J304" s="32"/>
      <x:c r="K304" s="31"/>
    </x:row>
    <x:row r="305">
      <x:c r="A305" s="31"/>
      <x:c r="J305" s="32"/>
      <x:c r="K305" s="31"/>
    </x:row>
    <x:row r="306">
      <x:c r="A306" s="31"/>
      <x:c r="J306" s="32"/>
      <x:c r="K306" s="31"/>
    </x:row>
    <x:row r="307">
      <x:c r="A307" s="31"/>
      <x:c r="J307" s="32"/>
      <x:c r="K307" s="31"/>
    </x:row>
    <x:row r="308">
      <x:c r="A308" s="31"/>
      <x:c r="J308" s="32"/>
      <x:c r="K308" s="31"/>
    </x:row>
    <x:row r="309">
      <x:c r="A309" s="31"/>
      <x:c r="J309" s="32"/>
      <x:c r="K309" s="31"/>
    </x:row>
    <x:row r="310">
      <x:c r="A310" s="31"/>
      <x:c r="J310" s="32"/>
      <x:c r="K310" s="31"/>
    </x:row>
    <x:row r="311">
      <x:c r="A311" s="31"/>
      <x:c r="J311" s="32"/>
      <x:c r="K311" s="31"/>
    </x:row>
    <x:row r="312">
      <x:c r="A312" s="31"/>
      <x:c r="J312" s="32"/>
      <x:c r="K312" s="31"/>
    </x:row>
    <x:row r="313">
      <x:c r="A313" s="31"/>
      <x:c r="J313" s="32"/>
      <x:c r="K313" s="31"/>
    </x:row>
    <x:row r="314">
      <x:c r="A314" s="31"/>
      <x:c r="J314" s="32"/>
      <x:c r="K314" s="31"/>
    </x:row>
    <x:row r="315">
      <x:c r="A315" s="31"/>
      <x:c r="J315" s="32"/>
      <x:c r="K315" s="31"/>
    </x:row>
    <x:row r="316">
      <x:c r="A316" s="31"/>
      <x:c r="J316" s="32"/>
      <x:c r="K316" s="31"/>
    </x:row>
    <x:row r="317">
      <x:c r="A317" s="31"/>
      <x:c r="J317" s="32"/>
      <x:c r="K317" s="31"/>
    </x:row>
    <x:row r="318">
      <x:c r="A318" s="31"/>
      <x:c r="J318" s="32"/>
      <x:c r="K318" s="31"/>
    </x:row>
    <x:row r="319">
      <x:c r="A319" s="31"/>
      <x:c r="J319" s="32"/>
      <x:c r="K319" s="31"/>
    </x:row>
    <x:row r="320">
      <x:c r="A320" s="31"/>
      <x:c r="J320" s="32"/>
      <x:c r="K320" s="31"/>
    </x:row>
    <x:row r="321">
      <x:c r="A321" s="31"/>
      <x:c r="J321" s="32"/>
      <x:c r="K321" s="31"/>
    </x:row>
    <x:row r="322">
      <x:c r="A322" s="31"/>
      <x:c r="J322" s="32"/>
      <x:c r="K322" s="31"/>
    </x:row>
    <x:row r="323">
      <x:c r="A323" s="31"/>
      <x:c r="J323" s="32"/>
      <x:c r="K323" s="31"/>
    </x:row>
    <x:row r="324">
      <x:c r="A324" s="31"/>
      <x:c r="J324" s="32"/>
      <x:c r="K324" s="31"/>
    </x:row>
    <x:row r="325">
      <x:c r="A325" s="31"/>
      <x:c r="J325" s="32"/>
      <x:c r="K325" s="31"/>
    </x:row>
    <x:row r="326">
      <x:c r="A326" s="31"/>
      <x:c r="J326" s="32"/>
      <x:c r="K326" s="31"/>
    </x:row>
    <x:row r="327">
      <x:c r="A327" s="31"/>
      <x:c r="J327" s="32"/>
      <x:c r="K327" s="31"/>
    </x:row>
    <x:row r="328">
      <x:c r="A328" s="31"/>
      <x:c r="J328" s="32"/>
      <x:c r="K328" s="31"/>
    </x:row>
    <x:row r="329">
      <x:c r="A329" s="31"/>
      <x:c r="J329" s="32"/>
      <x:c r="K329" s="31"/>
    </x:row>
    <x:row r="330">
      <x:c r="A330" s="31"/>
      <x:c r="J330" s="32"/>
      <x:c r="K330" s="31"/>
    </x:row>
    <x:row r="331">
      <x:c r="A331" s="31"/>
      <x:c r="J331" s="32"/>
      <x:c r="K331" s="31"/>
    </x:row>
    <x:row r="332">
      <x:c r="A332" s="31"/>
      <x:c r="J332" s="32"/>
      <x:c r="K332" s="31"/>
    </x:row>
    <x:row r="333">
      <x:c r="A333" s="31"/>
      <x:c r="J333" s="32"/>
      <x:c r="K333" s="31"/>
    </x:row>
    <x:row r="334">
      <x:c r="A334" s="31"/>
      <x:c r="J334" s="32"/>
      <x:c r="K334" s="31"/>
    </x:row>
    <x:row r="335">
      <x:c r="A335" s="31"/>
      <x:c r="J335" s="32"/>
      <x:c r="K335" s="31"/>
    </x:row>
    <x:row r="336">
      <x:c r="A336" s="31"/>
      <x:c r="J336" s="32"/>
      <x:c r="K336" s="31"/>
    </x:row>
    <x:row r="337">
      <x:c r="A337" s="31"/>
      <x:c r="J337" s="32"/>
      <x:c r="K337" s="31"/>
    </x:row>
    <x:row r="338">
      <x:c r="A338" s="31"/>
      <x:c r="J338" s="32"/>
      <x:c r="K338" s="31"/>
    </x:row>
    <x:row r="339">
      <x:c r="A339" s="31"/>
      <x:c r="J339" s="32"/>
      <x:c r="K339" s="31"/>
    </x:row>
    <x:row r="340">
      <x:c r="A340" s="31"/>
      <x:c r="J340" s="32"/>
      <x:c r="K340" s="31"/>
    </x:row>
    <x:row r="341">
      <x:c r="A341" s="31"/>
      <x:c r="J341" s="32"/>
      <x:c r="K341" s="31"/>
    </x:row>
    <x:row r="342">
      <x:c r="A342" s="31"/>
      <x:c r="J342" s="32"/>
      <x:c r="K342" s="31"/>
    </x:row>
    <x:row r="343">
      <x:c r="A343" s="31"/>
      <x:c r="J343" s="32"/>
      <x:c r="K343" s="31"/>
    </x:row>
    <x:row r="344">
      <x:c r="A344" s="31"/>
      <x:c r="J344" s="32"/>
      <x:c r="K344" s="31"/>
    </x:row>
    <x:row r="345">
      <x:c r="A345" s="31"/>
      <x:c r="J345" s="32"/>
      <x:c r="K345" s="31"/>
    </x:row>
    <x:row r="346">
      <x:c r="A346" s="31"/>
      <x:c r="J346" s="32"/>
      <x:c r="K346" s="31"/>
    </x:row>
    <x:row r="347">
      <x:c r="A347" s="31"/>
      <x:c r="J347" s="32"/>
      <x:c r="K347" s="31"/>
    </x:row>
    <x:row r="348">
      <x:c r="A348" s="31"/>
      <x:c r="J348" s="32"/>
      <x:c r="K348" s="31"/>
    </x:row>
    <x:row r="349">
      <x:c r="A349" s="31"/>
      <x:c r="J349" s="32"/>
      <x:c r="K349" s="31"/>
    </x:row>
    <x:row r="350">
      <x:c r="A350" s="31"/>
      <x:c r="J350" s="32"/>
      <x:c r="K350" s="31"/>
    </x:row>
    <x:row r="351">
      <x:c r="A351" s="31"/>
      <x:c r="J351" s="32"/>
      <x:c r="K351" s="31"/>
    </x:row>
    <x:row r="352">
      <x:c r="A352" s="31"/>
      <x:c r="J352" s="32"/>
      <x:c r="K352" s="31"/>
    </x:row>
    <x:row r="353">
      <x:c r="A353" s="31"/>
      <x:c r="J353" s="32"/>
      <x:c r="K353" s="31"/>
    </x:row>
    <x:row r="354">
      <x:c r="A354" s="31"/>
      <x:c r="J354" s="32"/>
      <x:c r="K354" s="31"/>
    </x:row>
    <x:row r="355">
      <x:c r="A355" s="31"/>
      <x:c r="J355" s="32"/>
      <x:c r="K355" s="31"/>
    </x:row>
    <x:row r="356">
      <x:c r="A356" s="31"/>
      <x:c r="J356" s="32"/>
      <x:c r="K356" s="31"/>
    </x:row>
    <x:row r="357">
      <x:c r="A357" s="31"/>
      <x:c r="J357" s="32"/>
      <x:c r="K357" s="31"/>
    </x:row>
    <x:row r="358">
      <x:c r="A358" s="31"/>
      <x:c r="J358" s="32"/>
      <x:c r="K358" s="31"/>
    </x:row>
    <x:row r="359">
      <x:c r="A359" s="31"/>
      <x:c r="J359" s="32"/>
      <x:c r="K359" s="31"/>
    </x:row>
    <x:row r="360">
      <x:c r="A360" s="31"/>
      <x:c r="J360" s="32"/>
      <x:c r="K360" s="31"/>
    </x:row>
    <x:row r="361">
      <x:c r="A361" s="31"/>
      <x:c r="J361" s="32"/>
      <x:c r="K361" s="31"/>
    </x:row>
    <x:row r="362">
      <x:c r="A362" s="31"/>
      <x:c r="J362" s="32"/>
      <x:c r="K362" s="31"/>
    </x:row>
    <x:row r="363">
      <x:c r="A363" s="31"/>
      <x:c r="J363" s="32"/>
      <x:c r="K363" s="31"/>
    </x:row>
    <x:row r="364">
      <x:c r="A364" s="31"/>
      <x:c r="J364" s="32"/>
      <x:c r="K364" s="31"/>
    </x:row>
    <x:row r="365">
      <x:c r="A365" s="31"/>
      <x:c r="J365" s="32"/>
      <x:c r="K365" s="31"/>
    </x:row>
    <x:row r="366">
      <x:c r="A366" s="31"/>
      <x:c r="J366" s="32"/>
      <x:c r="K366" s="31"/>
    </x:row>
    <x:row r="367">
      <x:c r="A367" s="31"/>
      <x:c r="J367" s="32"/>
      <x:c r="K367" s="31"/>
    </x:row>
    <x:row r="368">
      <x:c r="A368" s="31"/>
      <x:c r="J368" s="32"/>
      <x:c r="K368" s="31"/>
    </x:row>
    <x:row r="369">
      <x:c r="A369" s="31"/>
      <x:c r="J369" s="32"/>
      <x:c r="K369" s="31"/>
    </x:row>
    <x:row r="370">
      <x:c r="A370" s="31"/>
      <x:c r="J370" s="32"/>
      <x:c r="K370" s="31"/>
    </x:row>
    <x:row r="371">
      <x:c r="A371" s="31"/>
      <x:c r="J371" s="32"/>
      <x:c r="K371" s="31"/>
    </x:row>
    <x:row r="372">
      <x:c r="A372" s="31"/>
      <x:c r="J372" s="32"/>
      <x:c r="K372" s="31"/>
    </x:row>
    <x:row r="373">
      <x:c r="A373" s="31"/>
      <x:c r="J373" s="32"/>
      <x:c r="K373" s="31"/>
    </x:row>
    <x:row r="374">
      <x:c r="A374" s="31"/>
      <x:c r="J374" s="32"/>
      <x:c r="K374" s="31"/>
    </x:row>
    <x:row r="375">
      <x:c r="A375" s="31"/>
      <x:c r="J375" s="32"/>
      <x:c r="K375" s="31"/>
    </x:row>
    <x:row r="376">
      <x:c r="A376" s="31"/>
      <x:c r="J376" s="32"/>
      <x:c r="K376" s="31"/>
    </x:row>
    <x:row r="377">
      <x:c r="A377" s="31"/>
      <x:c r="J377" s="32"/>
      <x:c r="K377" s="31"/>
    </x:row>
    <x:row r="378">
      <x:c r="A378" s="31"/>
      <x:c r="J378" s="32"/>
      <x:c r="K378" s="31"/>
    </x:row>
    <x:row r="379">
      <x:c r="A379" s="31"/>
      <x:c r="J379" s="32"/>
      <x:c r="K379" s="31"/>
    </x:row>
    <x:row r="380">
      <x:c r="A380" s="31"/>
      <x:c r="J380" s="32"/>
      <x:c r="K380" s="31"/>
    </x:row>
    <x:row r="381">
      <x:c r="A381" s="31"/>
      <x:c r="J381" s="32"/>
      <x:c r="K381" s="31"/>
    </x:row>
    <x:row r="382">
      <x:c r="A382" s="31"/>
      <x:c r="J382" s="32"/>
      <x:c r="K382" s="31"/>
    </x:row>
    <x:row r="383">
      <x:c r="A383" s="31"/>
      <x:c r="J383" s="32"/>
      <x:c r="K383" s="31"/>
    </x:row>
    <x:row r="384">
      <x:c r="A384" s="31"/>
      <x:c r="J384" s="32"/>
      <x:c r="K384" s="31"/>
    </x:row>
    <x:row r="385">
      <x:c r="A385" s="31"/>
      <x:c r="J385" s="32"/>
      <x:c r="K385" s="31"/>
    </x:row>
    <x:row r="386">
      <x:c r="A386" s="31"/>
      <x:c r="J386" s="32"/>
      <x:c r="K386" s="31"/>
    </x:row>
    <x:row r="387">
      <x:c r="A387" s="31"/>
      <x:c r="J387" s="32"/>
      <x:c r="K387" s="31"/>
    </x:row>
    <x:row r="388">
      <x:c r="A388" s="31"/>
      <x:c r="J388" s="32"/>
      <x:c r="K388" s="31"/>
    </x:row>
    <x:row r="389">
      <x:c r="A389" s="31"/>
      <x:c r="J389" s="32"/>
      <x:c r="K389" s="31"/>
    </x:row>
    <x:row r="390">
      <x:c r="A390" s="31"/>
      <x:c r="J390" s="32"/>
      <x:c r="K390" s="31"/>
    </x:row>
    <x:row r="391">
      <x:c r="A391" s="31"/>
      <x:c r="J391" s="32"/>
      <x:c r="K391" s="31"/>
    </x:row>
    <x:row r="392">
      <x:c r="A392" s="31"/>
      <x:c r="J392" s="32"/>
      <x:c r="K392" s="31"/>
    </x:row>
    <x:row r="393">
      <x:c r="A393" s="31"/>
      <x:c r="J393" s="32"/>
      <x:c r="K393" s="31"/>
    </x:row>
    <x:row r="394">
      <x:c r="A394" s="31"/>
      <x:c r="J394" s="32"/>
      <x:c r="K394" s="31"/>
    </x:row>
    <x:row r="395">
      <x:c r="A395" s="31"/>
      <x:c r="J395" s="32"/>
      <x:c r="K395" s="31"/>
    </x:row>
    <x:row r="396">
      <x:c r="A396" s="31"/>
      <x:c r="J396" s="32"/>
      <x:c r="K396" s="31"/>
    </x:row>
    <x:row r="397">
      <x:c r="A397" s="31"/>
      <x:c r="J397" s="32"/>
      <x:c r="K397" s="31"/>
    </x:row>
    <x:row r="398">
      <x:c r="A398" s="31"/>
      <x:c r="J398" s="32"/>
      <x:c r="K398" s="31"/>
    </x:row>
    <x:row r="399">
      <x:c r="A399" s="31"/>
      <x:c r="J399" s="32"/>
      <x:c r="K399" s="31"/>
    </x:row>
    <x:row r="400">
      <x:c r="A400" s="31"/>
      <x:c r="J400" s="32"/>
      <x:c r="K400" s="31"/>
    </x:row>
    <x:row r="401">
      <x:c r="A401" s="31"/>
      <x:c r="J401" s="32"/>
      <x:c r="K401" s="31"/>
    </x:row>
    <x:row r="402">
      <x:c r="A402" s="31"/>
      <x:c r="J402" s="32"/>
      <x:c r="K402" s="31"/>
    </x:row>
    <x:row r="403">
      <x:c r="A403" s="31"/>
      <x:c r="J403" s="32"/>
      <x:c r="K403" s="31"/>
    </x:row>
    <x:row r="404">
      <x:c r="A404" s="31"/>
      <x:c r="J404" s="32"/>
      <x:c r="K404" s="31"/>
    </x:row>
    <x:row r="405">
      <x:c r="A405" s="31"/>
      <x:c r="J405" s="32"/>
      <x:c r="K405" s="31"/>
    </x:row>
    <x:row r="406">
      <x:c r="A406" s="31"/>
      <x:c r="J406" s="32"/>
      <x:c r="K406" s="31"/>
    </x:row>
    <x:row r="407">
      <x:c r="A407" s="31"/>
      <x:c r="J407" s="32"/>
      <x:c r="K407" s="31"/>
    </x:row>
    <x:row r="408">
      <x:c r="A408" s="31"/>
      <x:c r="J408" s="32"/>
      <x:c r="K408" s="31"/>
    </x:row>
    <x:row r="409">
      <x:c r="A409" s="31"/>
      <x:c r="J409" s="32"/>
      <x:c r="K409" s="31"/>
    </x:row>
    <x:row r="410">
      <x:c r="A410" s="31"/>
      <x:c r="J410" s="32"/>
      <x:c r="K410" s="31"/>
    </x:row>
    <x:row r="411">
      <x:c r="A411" s="31"/>
      <x:c r="J411" s="32"/>
      <x:c r="K411" s="31"/>
    </x:row>
    <x:row r="412">
      <x:c r="A412" s="31"/>
      <x:c r="J412" s="32"/>
      <x:c r="K412" s="31"/>
    </x:row>
    <x:row r="413">
      <x:c r="A413" s="31"/>
      <x:c r="J413" s="32"/>
      <x:c r="K413" s="31"/>
    </x:row>
    <x:row r="414">
      <x:c r="A414" s="31"/>
      <x:c r="J414" s="32"/>
      <x:c r="K414" s="31"/>
    </x:row>
    <x:row r="415">
      <x:c r="A415" s="31"/>
      <x:c r="J415" s="32"/>
      <x:c r="K415" s="31"/>
    </x:row>
    <x:row r="416">
      <x:c r="A416" s="31"/>
      <x:c r="J416" s="32"/>
      <x:c r="K416" s="31"/>
    </x:row>
    <x:row r="417">
      <x:c r="A417" s="31"/>
      <x:c r="J417" s="32"/>
      <x:c r="K417" s="31"/>
    </x:row>
    <x:row r="418">
      <x:c r="A418" s="31"/>
      <x:c r="J418" s="32"/>
      <x:c r="K418" s="31"/>
    </x:row>
    <x:row r="419">
      <x:c r="A419" s="31"/>
      <x:c r="J419" s="32"/>
      <x:c r="K419" s="31"/>
    </x:row>
    <x:row r="420">
      <x:c r="A420" s="31"/>
      <x:c r="J420" s="32"/>
      <x:c r="K420" s="31"/>
    </x:row>
    <x:row r="421">
      <x:c r="A421" s="31"/>
      <x:c r="J421" s="32"/>
      <x:c r="K421" s="31"/>
    </x:row>
    <x:row r="422">
      <x:c r="A422" s="31"/>
      <x:c r="J422" s="32"/>
      <x:c r="K422" s="31"/>
    </x:row>
    <x:row r="423">
      <x:c r="A423" s="31"/>
      <x:c r="J423" s="32"/>
      <x:c r="K423" s="31"/>
    </x:row>
    <x:row r="424">
      <x:c r="A424" s="31"/>
      <x:c r="J424" s="32"/>
      <x:c r="K424" s="31"/>
    </x:row>
    <x:row r="425">
      <x:c r="A425" s="31"/>
      <x:c r="J425" s="32"/>
      <x:c r="K425" s="31"/>
    </x:row>
    <x:row r="426">
      <x:c r="A426" s="31"/>
      <x:c r="J426" s="32"/>
      <x:c r="K426" s="31"/>
    </x:row>
    <x:row r="427">
      <x:c r="A427" s="31"/>
      <x:c r="J427" s="32"/>
      <x:c r="K427" s="31"/>
    </x:row>
    <x:row r="428">
      <x:c r="A428" s="31"/>
      <x:c r="J428" s="32"/>
      <x:c r="K428" s="31"/>
    </x:row>
    <x:row r="429">
      <x:c r="A429" s="31"/>
      <x:c r="J429" s="32"/>
      <x:c r="K429" s="31"/>
    </x:row>
    <x:row r="430">
      <x:c r="A430" s="31"/>
      <x:c r="J430" s="32"/>
      <x:c r="K430" s="31"/>
    </x:row>
    <x:row r="431">
      <x:c r="A431" s="31"/>
      <x:c r="J431" s="32"/>
      <x:c r="K431" s="31"/>
    </x:row>
    <x:row r="432">
      <x:c r="A432" s="31"/>
      <x:c r="J432" s="32"/>
      <x:c r="K432" s="31"/>
    </x:row>
    <x:row r="433">
      <x:c r="A433" s="31"/>
      <x:c r="J433" s="32"/>
      <x:c r="K433" s="31"/>
    </x:row>
    <x:row r="434">
      <x:c r="A434" s="31"/>
      <x:c r="J434" s="32"/>
      <x:c r="K434" s="31"/>
    </x:row>
    <x:row r="435">
      <x:c r="A435" s="31"/>
      <x:c r="J435" s="32"/>
      <x:c r="K435" s="31"/>
    </x:row>
    <x:row r="436">
      <x:c r="A436" s="31"/>
      <x:c r="J436" s="32"/>
      <x:c r="K436" s="31"/>
    </x:row>
    <x:row r="437">
      <x:c r="A437" s="31"/>
      <x:c r="J437" s="32"/>
      <x:c r="K437" s="31"/>
    </x:row>
    <x:row r="438">
      <x:c r="A438" s="31"/>
      <x:c r="J438" s="32"/>
      <x:c r="K438" s="31"/>
    </x:row>
    <x:row r="439">
      <x:c r="A439" s="31"/>
      <x:c r="J439" s="32"/>
      <x:c r="K439" s="31"/>
    </x:row>
    <x:row r="440">
      <x:c r="A440" s="31"/>
      <x:c r="J440" s="32"/>
      <x:c r="K440" s="31"/>
    </x:row>
    <x:row r="441">
      <x:c r="A441" s="31"/>
      <x:c r="J441" s="32"/>
      <x:c r="K441" s="31"/>
    </x:row>
    <x:row r="442">
      <x:c r="A442" s="31"/>
      <x:c r="J442" s="32"/>
      <x:c r="K442" s="31"/>
    </x:row>
    <x:row r="443">
      <x:c r="A443" s="31"/>
      <x:c r="J443" s="32"/>
      <x:c r="K443" s="31"/>
    </x:row>
    <x:row r="444">
      <x:c r="A444" s="31"/>
      <x:c r="J444" s="32"/>
      <x:c r="K444" s="31"/>
    </x:row>
    <x:row r="445">
      <x:c r="A445" s="31"/>
      <x:c r="J445" s="32"/>
      <x:c r="K445" s="31"/>
    </x:row>
    <x:row r="446">
      <x:c r="A446" s="31"/>
      <x:c r="J446" s="32"/>
      <x:c r="K446" s="31"/>
    </x:row>
    <x:row r="447">
      <x:c r="A447" s="31"/>
      <x:c r="J447" s="32"/>
      <x:c r="K447" s="31"/>
    </x:row>
    <x:row r="448">
      <x:c r="A448" s="31"/>
      <x:c r="J448" s="32"/>
      <x:c r="K448" s="31"/>
    </x:row>
    <x:row r="449">
      <x:c r="A449" s="31"/>
      <x:c r="J449" s="32"/>
      <x:c r="K449" s="31"/>
    </x:row>
    <x:row r="450">
      <x:c r="A450" s="31"/>
      <x:c r="J450" s="32"/>
      <x:c r="K450" s="31"/>
    </x:row>
    <x:row r="451">
      <x:c r="A451" s="31"/>
      <x:c r="J451" s="32"/>
      <x:c r="K451" s="31"/>
    </x:row>
    <x:row r="452">
      <x:c r="A452" s="31"/>
      <x:c r="J452" s="32"/>
      <x:c r="K452" s="31"/>
    </x:row>
    <x:row r="453">
      <x:c r="A453" s="31"/>
      <x:c r="J453" s="32"/>
      <x:c r="K453" s="31"/>
    </x:row>
    <x:row r="454">
      <x:c r="A454" s="31"/>
      <x:c r="J454" s="32"/>
      <x:c r="K454" s="31"/>
    </x:row>
    <x:row r="455">
      <x:c r="A455" s="31"/>
      <x:c r="J455" s="32"/>
      <x:c r="K455" s="31"/>
    </x:row>
    <x:row r="456">
      <x:c r="A456" s="31"/>
      <x:c r="J456" s="32"/>
      <x:c r="K456" s="31"/>
    </x:row>
    <x:row r="457">
      <x:c r="A457" s="31"/>
      <x:c r="J457" s="32"/>
      <x:c r="K457" s="31"/>
    </x:row>
    <x:row r="458">
      <x:c r="A458" s="31"/>
      <x:c r="J458" s="32"/>
      <x:c r="K458" s="31"/>
    </x:row>
    <x:row r="459">
      <x:c r="A459" s="31"/>
      <x:c r="J459" s="32"/>
      <x:c r="K459" s="31"/>
    </x:row>
    <x:row r="460">
      <x:c r="A460" s="31"/>
      <x:c r="J460" s="32"/>
      <x:c r="K460" s="31"/>
    </x:row>
    <x:row r="461">
      <x:c r="A461" s="31"/>
      <x:c r="J461" s="32"/>
      <x:c r="K461" s="31"/>
    </x:row>
    <x:row r="462">
      <x:c r="A462" s="31"/>
      <x:c r="J462" s="32"/>
      <x:c r="K462" s="31"/>
    </x:row>
    <x:row r="463">
      <x:c r="A463" s="31"/>
      <x:c r="J463" s="32"/>
      <x:c r="K463" s="31"/>
    </x:row>
    <x:row r="464">
      <x:c r="A464" s="31"/>
      <x:c r="J464" s="32"/>
      <x:c r="K464" s="31"/>
    </x:row>
    <x:row r="465">
      <x:c r="A465" s="31"/>
      <x:c r="J465" s="32"/>
      <x:c r="K465" s="31"/>
    </x:row>
    <x:row r="466">
      <x:c r="A466" s="31"/>
      <x:c r="J466" s="32"/>
      <x:c r="K466" s="31"/>
    </x:row>
    <x:row r="467">
      <x:c r="A467" s="31"/>
      <x:c r="J467" s="32"/>
      <x:c r="K467" s="31"/>
    </x:row>
    <x:row r="468">
      <x:c r="A468" s="31"/>
      <x:c r="J468" s="32"/>
      <x:c r="K468" s="31"/>
    </x:row>
    <x:row r="469">
      <x:c r="A469" s="31"/>
      <x:c r="J469" s="32"/>
      <x:c r="K469" s="31"/>
    </x:row>
    <x:row r="470">
      <x:c r="A470" s="31"/>
      <x:c r="J470" s="32"/>
      <x:c r="K470" s="31"/>
    </x:row>
    <x:row r="471">
      <x:c r="A471" s="31"/>
      <x:c r="J471" s="32"/>
      <x:c r="K471" s="31"/>
    </x:row>
    <x:row r="472">
      <x:c r="A472" s="31"/>
      <x:c r="J472" s="32"/>
      <x:c r="K472" s="31"/>
    </x:row>
    <x:row r="473">
      <x:c r="A473" s="31"/>
      <x:c r="J473" s="32"/>
      <x:c r="K473" s="31"/>
    </x:row>
    <x:row r="474">
      <x:c r="A474" s="31"/>
      <x:c r="J474" s="32"/>
      <x:c r="K474" s="31"/>
    </x:row>
    <x:row r="475">
      <x:c r="A475" s="31"/>
      <x:c r="J475" s="32"/>
      <x:c r="K475" s="31"/>
    </x:row>
    <x:row r="476">
      <x:c r="A476" s="31"/>
      <x:c r="J476" s="32"/>
      <x:c r="K476" s="31"/>
    </x:row>
    <x:row r="477">
      <x:c r="A477" s="31"/>
      <x:c r="J477" s="32"/>
      <x:c r="K477" s="31"/>
    </x:row>
    <x:row r="478">
      <x:c r="A478" s="31"/>
      <x:c r="J478" s="32"/>
      <x:c r="K478" s="31"/>
    </x:row>
    <x:row r="479">
      <x:c r="A479" s="31"/>
      <x:c r="J479" s="32"/>
      <x:c r="K479" s="31"/>
    </x:row>
    <x:row r="480">
      <x:c r="A480" s="31"/>
      <x:c r="J480" s="32"/>
      <x:c r="K480" s="31"/>
    </x:row>
    <x:row r="481">
      <x:c r="A481" s="31"/>
      <x:c r="J481" s="32"/>
      <x:c r="K481" s="31"/>
    </x:row>
    <x:row r="482">
      <x:c r="A482" s="31"/>
      <x:c r="J482" s="32"/>
      <x:c r="K482" s="31"/>
    </x:row>
    <x:row r="483">
      <x:c r="A483" s="31"/>
      <x:c r="J483" s="32"/>
      <x:c r="K483" s="31"/>
    </x:row>
    <x:row r="484">
      <x:c r="A484" s="31"/>
      <x:c r="J484" s="32"/>
      <x:c r="K484" s="31"/>
    </x:row>
    <x:row r="485">
      <x:c r="A485" s="31"/>
      <x:c r="J485" s="32"/>
      <x:c r="K485" s="31"/>
    </x:row>
    <x:row r="486">
      <x:c r="A486" s="31"/>
      <x:c r="J486" s="32"/>
      <x:c r="K486" s="31"/>
    </x:row>
    <x:row r="487">
      <x:c r="A487" s="31"/>
      <x:c r="J487" s="32"/>
      <x:c r="K487" s="31"/>
    </x:row>
    <x:row r="488">
      <x:c r="A488" s="31"/>
      <x:c r="J488" s="32"/>
      <x:c r="K488" s="31"/>
    </x:row>
    <x:row r="489">
      <x:c r="A489" s="31"/>
      <x:c r="J489" s="32"/>
      <x:c r="K489" s="31"/>
    </x:row>
    <x:row r="490">
      <x:c r="A490" s="31"/>
      <x:c r="J490" s="32"/>
      <x:c r="K490" s="31"/>
    </x:row>
    <x:row r="491">
      <x:c r="A491" s="31"/>
      <x:c r="J491" s="32"/>
      <x:c r="K491" s="31"/>
    </x:row>
    <x:row r="492">
      <x:c r="A492" s="31"/>
      <x:c r="J492" s="32"/>
      <x:c r="K492" s="31"/>
    </x:row>
    <x:row r="493">
      <x:c r="A493" s="31"/>
      <x:c r="J493" s="32"/>
      <x:c r="K493" s="31"/>
    </x:row>
    <x:row r="494">
      <x:c r="A494" s="31"/>
      <x:c r="J494" s="32"/>
      <x:c r="K494" s="31"/>
    </x:row>
    <x:row r="495">
      <x:c r="A495" s="31"/>
      <x:c r="J495" s="32"/>
      <x:c r="K495" s="31"/>
    </x:row>
    <x:row r="496">
      <x:c r="A496" s="31"/>
      <x:c r="J496" s="32"/>
      <x:c r="K496" s="31"/>
    </x:row>
    <x:row r="497">
      <x:c r="A497" s="31"/>
      <x:c r="J497" s="32"/>
      <x:c r="K497" s="31"/>
    </x:row>
    <x:row r="498">
      <x:c r="A498" s="31"/>
      <x:c r="J498" s="32"/>
      <x:c r="K498" s="31"/>
    </x:row>
    <x:row r="499">
      <x:c r="A499" s="31"/>
      <x:c r="J499" s="32"/>
      <x:c r="K499" s="31"/>
    </x:row>
    <x:row r="500">
      <x:c r="A500" s="31"/>
      <x:c r="J500" s="32"/>
      <x:c r="K500" s="31"/>
    </x:row>
  </x:sheetData>
  <x:conditionalFormatting sqref="F2:F500">
    <x:cfRule type="containsText" dxfId="3" priority="1" operator="containsText" text="Correct"/>
    <x:cfRule type="containsText" dxfId="4" priority="2" operator="containsText" text="Incorrect"/>
  </x:conditionalFormatting>
  <x:dataValidations count="3">
    <x:dataValidation type="list" sqref="F2:F500">
      <x:formula1>'Lists'!$C$2:$C$3</x:formula1>
    </x:dataValidation>
    <x:dataValidation type="whole" operator="between" sqref="G2:G500">
      <x:formula1>1</x:formula1>
      <x:formula2>5</x:formula2>
    </x:dataValidation>
    <x:dataValidation type="list" sqref="I2:I500">
      <x:formula1>'Lists'!$B$2:$B$7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da3916401443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12" t="str">
        <x:v>Knowledge ID</x:v>
      </x:c>
      <x:c r="B1" s="13" t="str">
        <x:v>中文术语</x:v>
      </x:c>
      <x:c r="C1" s="13" t="str">
        <x:v>English Term</x:v>
      </x:c>
      <x:c r="D1" s="13" t="str">
        <x:v>Priority</x:v>
      </x:c>
      <x:c r="E1" s="13" t="str">
        <x:v>Status</x:v>
      </x:c>
      <x:c r="F1" s="13" t="str">
        <x:v>Next Review</x:v>
      </x:c>
      <x:c r="G1" s="13" t="str">
        <x:v>Days Until Due</x:v>
      </x:c>
      <x:c r="H1" s="14" t="str">
        <x:v>Review Action</x:v>
      </x:c>
    </x:row>
    <x:row r="2">
      <x:c r="A2" s="19" t="str">
        <x:f>'Knowledge'!A2</x:f>
        <x:v>KP-001</x:v>
      </x:c>
      <x:c r="B2" s="19" t="str">
        <x:f>'Knowledge'!G2</x:f>
        <x:v>项目</x:v>
      </x:c>
      <x:c r="C2" s="19" t="str">
        <x:f>'Knowledge'!H2</x:f>
        <x:v>Project</x:v>
      </x:c>
      <x:c r="D2" s="19" t="str">
        <x:f>'Knowledge'!E2</x:f>
        <x:v>🔴 必考 Must Know</x:v>
      </x:c>
      <x:c r="E2" s="19" t="str">
        <x:f>'Knowledge'!K2</x:f>
        <x:v>Unstable 掌握不稳定</x:v>
      </x:c>
      <x:c r="F2" s="22" t="n">
        <x:f>IF('Knowledge'!M2="","",'Knowledge'!M2)</x:f>
        <x:v>46252</x:v>
      </x:c>
      <x:c r="G2" s="19" t="n">
        <x:f>IF(F2="","",F2-TODAY())</x:f>
        <x:v>1</x:v>
      </x:c>
      <x:c r="H2" s="19" t="str">
        <x:f>IF(F2="","",IF(E2="Mastered 已掌握","30-day recall",IF(G2&lt;=0,"Review today",IF(G2&lt;=3,"Upcoming","Scheduled"))))</x:f>
        <x:v>Upcoming</x:v>
      </x:c>
    </x:row>
    <x:row r="3">
      <x:c r="A3" s="20" t="str">
        <x:f>'Knowledge'!A3</x:f>
        <x:v>KP-002</x:v>
      </x:c>
      <x:c r="B3" s="20" t="str">
        <x:f>'Knowledge'!G3</x:f>
        <x:v>运营</x:v>
      </x:c>
      <x:c r="C3" s="20" t="str">
        <x:f>'Knowledge'!H3</x:f>
        <x:v>Operations</x:v>
      </x:c>
      <x:c r="D3" s="20" t="str">
        <x:f>'Knowledge'!E3</x:f>
        <x:v>🔴 必考 Must Know</x:v>
      </x:c>
      <x:c r="E3" s="20" t="str">
        <x:f>'Knowledge'!K3</x:f>
        <x:v>Unstable 掌握不稳定</x:v>
      </x:c>
      <x:c r="F3" s="23" t="n">
        <x:f>IF('Knowledge'!M3="","",'Knowledge'!M3)</x:f>
        <x:v>46252</x:v>
      </x:c>
      <x:c r="G3" s="20" t="n">
        <x:f>IF(F3="","",F3-TODAY())</x:f>
        <x:v>1</x:v>
      </x:c>
      <x:c r="H3" s="20" t="str">
        <x:f>IF(F3="","",IF(E3="Mastered 已掌握","30-day recall",IF(G3&lt;=0,"Review today",IF(G3&lt;=3,"Upcoming","Scheduled"))))</x:f>
        <x:v>Upcoming</x:v>
      </x:c>
    </x:row>
    <x:row r="4">
      <x:c r="A4" s="20" t="str">
        <x:f>'Knowledge'!A4</x:f>
        <x:v>KP-003</x:v>
      </x:c>
      <x:c r="B4" s="20" t="str">
        <x:f>'Knowledge'!G4</x:f>
        <x:v>项目群</x:v>
      </x:c>
      <x:c r="C4" s="20" t="str">
        <x:f>'Knowledge'!H4</x:f>
        <x:v>Program</x:v>
      </x:c>
      <x:c r="D4" s="20" t="str">
        <x:f>'Knowledge'!E4</x:f>
        <x:v>🟠 高频 High Frequency</x:v>
      </x:c>
      <x:c r="E4" s="20" t="str">
        <x:f>'Knowledge'!K4</x:f>
        <x:v>Not Started 未学</x:v>
      </x:c>
      <x:c r="F4" s="23" t="str">
        <x:f>IF('Knowledge'!M4="","",'Knowledge'!M4)</x:f>
      </x:c>
      <x:c r="G4" s="20" t="str">
        <x:f>IF(F4="","",F4-TODAY())</x:f>
      </x:c>
      <x:c r="H4" s="20" t="str">
        <x:f>IF(F4="","",IF(E4="Mastered 已掌握","30-day recall",IF(G4&lt;=0,"Review today",IF(G4&lt;=3,"Upcoming","Scheduled"))))</x:f>
      </x:c>
    </x:row>
    <x:row r="5">
      <x:c r="A5" s="20" t="str">
        <x:f>'Knowledge'!A5</x:f>
        <x:v>KP-004</x:v>
      </x:c>
      <x:c r="B5" s="20" t="str">
        <x:f>'Knowledge'!G5</x:f>
        <x:v>项目组合</x:v>
      </x:c>
      <x:c r="C5" s="20" t="str">
        <x:f>'Knowledge'!H5</x:f>
        <x:v>Portfolio</x:v>
      </x:c>
      <x:c r="D5" s="20" t="str">
        <x:f>'Knowledge'!E5</x:f>
        <x:v>🟠 高频 High Frequency</x:v>
      </x:c>
      <x:c r="E5" s="20" t="str">
        <x:f>'Knowledge'!K5</x:f>
        <x:v>Not Started 未学</x:v>
      </x:c>
      <x:c r="F5" s="23" t="str">
        <x:f>IF('Knowledge'!M5="","",'Knowledge'!M5)</x:f>
      </x:c>
      <x:c r="G5" s="20" t="str">
        <x:f>IF(F5="","",F5-TODAY())</x:f>
      </x:c>
      <x:c r="H5" s="20" t="str">
        <x:f>IF(F5="","",IF(E5="Mastered 已掌握","30-day recall",IF(G5&lt;=0,"Review today",IF(G5&lt;=3,"Upcoming","Scheduled"))))</x:f>
      </x:c>
    </x:row>
    <x:row r="6">
      <x:c r="A6" s="20" t="str">
        <x:f>'Knowledge'!A6</x:f>
        <x:v>KP-005</x:v>
      </x:c>
      <x:c r="B6" s="20" t="str">
        <x:f>'Knowledge'!G6</x:f>
        <x:v>价值</x:v>
      </x:c>
      <x:c r="C6" s="20" t="str">
        <x:f>'Knowledge'!H6</x:f>
        <x:v>Value</x:v>
      </x:c>
      <x:c r="D6" s="20" t="str">
        <x:f>'Knowledge'!E6</x:f>
        <x:v>🔴 必考 Must Know</x:v>
      </x:c>
      <x:c r="E6" s="20" t="str">
        <x:f>'Knowledge'!K6</x:f>
        <x:v>Not Started 未学</x:v>
      </x:c>
      <x:c r="F6" s="23" t="str">
        <x:f>IF('Knowledge'!M6="","",'Knowledge'!M6)</x:f>
      </x:c>
      <x:c r="G6" s="20" t="str">
        <x:f>IF(F6="","",F6-TODAY())</x:f>
      </x:c>
      <x:c r="H6" s="20" t="str">
        <x:f>IF(F6="","",IF(E6="Mastered 已掌握","30-day recall",IF(G6&lt;=0,"Review today",IF(G6&lt;=3,"Upcoming","Scheduled"))))</x:f>
      </x:c>
    </x:row>
    <x:row r="7">
      <x:c r="A7" s="20" t="str">
        <x:f>'Knowledge'!A7</x:f>
        <x:v>KP-006</x:v>
      </x:c>
      <x:c r="B7" s="20" t="str">
        <x:f>'Knowledge'!G7</x:f>
        <x:v>成果</x:v>
      </x:c>
      <x:c r="C7" s="20" t="str">
        <x:f>'Knowledge'!H7</x:f>
        <x:v>Outcome</x:v>
      </x:c>
      <x:c r="D7" s="20" t="str">
        <x:f>'Knowledge'!E7</x:f>
        <x:v>🟠 高频 High Frequency</x:v>
      </x:c>
      <x:c r="E7" s="20" t="str">
        <x:f>'Knowledge'!K7</x:f>
        <x:v>Not Started 未学</x:v>
      </x:c>
      <x:c r="F7" s="23" t="str">
        <x:f>IF('Knowledge'!M7="","",'Knowledge'!M7)</x:f>
      </x:c>
      <x:c r="G7" s="20" t="str">
        <x:f>IF(F7="","",F7-TODAY())</x:f>
      </x:c>
      <x:c r="H7" s="20" t="str">
        <x:f>IF(F7="","",IF(E7="Mastered 已掌握","30-day recall",IF(G7&lt;=0,"Review today",IF(G7&lt;=3,"Upcoming","Scheduled"))))</x:f>
      </x:c>
    </x:row>
    <x:row r="8">
      <x:c r="A8" s="20" t="str">
        <x:f>'Knowledge'!A8</x:f>
        <x:v>KP-007</x:v>
      </x:c>
      <x:c r="B8" s="20" t="str">
        <x:f>'Knowledge'!G8</x:f>
        <x:v>收益</x:v>
      </x:c>
      <x:c r="C8" s="20" t="str">
        <x:f>'Knowledge'!H8</x:f>
        <x:v>Benefit</x:v>
      </x:c>
      <x:c r="D8" s="20" t="str">
        <x:f>'Knowledge'!E8</x:f>
        <x:v>🟠 高频 High Frequency</x:v>
      </x:c>
      <x:c r="E8" s="20" t="str">
        <x:f>'Knowledge'!K8</x:f>
        <x:v>Not Started 未学</x:v>
      </x:c>
      <x:c r="F8" s="23" t="str">
        <x:f>IF('Knowledge'!M8="","",'Knowledge'!M8)</x:f>
      </x:c>
      <x:c r="G8" s="20" t="str">
        <x:f>IF(F8="","",F8-TODAY())</x:f>
      </x:c>
      <x:c r="H8" s="20" t="str">
        <x:f>IF(F8="","",IF(E8="Mastered 已掌握","30-day recall",IF(G8&lt;=0,"Review today",IF(G8&lt;=3,"Upcoming","Scheduled"))))</x:f>
      </x:c>
    </x:row>
    <x:row r="9">
      <x:c r="A9" s="20" t="str">
        <x:f>'Knowledge'!A9</x:f>
        <x:v>KP-008</x:v>
      </x:c>
      <x:c r="B9" s="20" t="str">
        <x:f>'Knowledge'!G9</x:f>
        <x:v>预测型</x:v>
      </x:c>
      <x:c r="C9" s="20" t="str">
        <x:f>'Knowledge'!H9</x:f>
        <x:v>Predictive</x:v>
      </x:c>
      <x:c r="D9" s="20" t="str">
        <x:f>'Knowledge'!E9</x:f>
        <x:v>🔴 必考 Must Know</x:v>
      </x:c>
      <x:c r="E9" s="20" t="str">
        <x:f>'Knowledge'!K9</x:f>
        <x:v>Not Started 未学</x:v>
      </x:c>
      <x:c r="F9" s="23" t="str">
        <x:f>IF('Knowledge'!M9="","",'Knowledge'!M9)</x:f>
      </x:c>
      <x:c r="G9" s="20" t="str">
        <x:f>IF(F9="","",F9-TODAY())</x:f>
      </x:c>
      <x:c r="H9" s="20" t="str">
        <x:f>IF(F9="","",IF(E9="Mastered 已掌握","30-day recall",IF(G9&lt;=0,"Review today",IF(G9&lt;=3,"Upcoming","Scheduled"))))</x:f>
      </x:c>
    </x:row>
    <x:row r="10">
      <x:c r="A10" s="20" t="str">
        <x:f>'Knowledge'!A10</x:f>
        <x:v>KP-009</x:v>
      </x:c>
      <x:c r="B10" s="20" t="str">
        <x:f>'Knowledge'!G10</x:f>
        <x:v>敏捷/自适应</x:v>
      </x:c>
      <x:c r="C10" s="20" t="str">
        <x:f>'Knowledge'!H10</x:f>
        <x:v>Adaptive / Agile</x:v>
      </x:c>
      <x:c r="D10" s="20" t="str">
        <x:f>'Knowledge'!E10</x:f>
        <x:v>🔴 必考 Must Know</x:v>
      </x:c>
      <x:c r="E10" s="20" t="str">
        <x:f>'Knowledge'!K10</x:f>
        <x:v>Not Started 未学</x:v>
      </x:c>
      <x:c r="F10" s="23" t="str">
        <x:f>IF('Knowledge'!M10="","",'Knowledge'!M10)</x:f>
      </x:c>
      <x:c r="G10" s="20" t="str">
        <x:f>IF(F10="","",F10-TODAY())</x:f>
      </x:c>
      <x:c r="H10" s="20" t="str">
        <x:f>IF(F10="","",IF(E10="Mastered 已掌握","30-day recall",IF(G10&lt;=0,"Review today",IF(G10&lt;=3,"Upcoming","Scheduled"))))</x:f>
      </x:c>
    </x:row>
    <x:row r="11">
      <x:c r="A11" s="20" t="str">
        <x:f>'Knowledge'!A11</x:f>
        <x:v>KP-010</x:v>
      </x:c>
      <x:c r="B11" s="20" t="str">
        <x:f>'Knowledge'!G11</x:f>
        <x:v>混合型</x:v>
      </x:c>
      <x:c r="C11" s="20" t="str">
        <x:f>'Knowledge'!H11</x:f>
        <x:v>Hybrid</x:v>
      </x:c>
      <x:c r="D11" s="20" t="str">
        <x:f>'Knowledge'!E11</x:f>
        <x:v>🔴 必考 Must Know</x:v>
      </x:c>
      <x:c r="E11" s="20" t="str">
        <x:f>'Knowledge'!K11</x:f>
        <x:v>Not Started 未学</x:v>
      </x:c>
      <x:c r="F11" s="23" t="str">
        <x:f>IF('Knowledge'!M11="","",'Knowledge'!M11)</x:f>
      </x:c>
      <x:c r="G11" s="20" t="str">
        <x:f>IF(F11="","",F11-TODAY())</x:f>
      </x:c>
      <x:c r="H11" s="20" t="str">
        <x:f>IF(F11="","",IF(E11="Mastered 已掌握","30-day recall",IF(G11&lt;=0,"Review today",IF(G11&lt;=3,"Upcoming","Scheduled"))))</x:f>
      </x:c>
    </x:row>
    <x:row r="12">
      <x:c r="A12" s="20" t="str">
        <x:f>'Knowledge'!A12</x:f>
        <x:v>KP-011</x:v>
      </x:c>
      <x:c r="B12" s="20" t="str">
        <x:f>'Knowledge'!G12</x:f>
        <x:v>裁剪</x:v>
      </x:c>
      <x:c r="C12" s="20" t="str">
        <x:f>'Knowledge'!H12</x:f>
        <x:v>Tailoring</x:v>
      </x:c>
      <x:c r="D12" s="20" t="str">
        <x:f>'Knowledge'!E12</x:f>
        <x:v>🟠 高频 High Frequency</x:v>
      </x:c>
      <x:c r="E12" s="20" t="str">
        <x:f>'Knowledge'!K12</x:f>
        <x:v>Not Started 未学</x:v>
      </x:c>
      <x:c r="F12" s="23" t="str">
        <x:f>IF('Knowledge'!M12="","",'Knowledge'!M12)</x:f>
      </x:c>
      <x:c r="G12" s="20" t="str">
        <x:f>IF(F12="","",F12-TODAY())</x:f>
      </x:c>
      <x:c r="H12" s="20" t="str">
        <x:f>IF(F12="","",IF(E12="Mastered 已掌握","30-day recall",IF(G12&lt;=0,"Review today",IF(G12&lt;=3,"Upcoming","Scheduled"))))</x:f>
      </x:c>
    </x:row>
    <x:row r="13">
      <x:c r="A13" s="20" t="str">
        <x:f>'Knowledge'!A13</x:f>
        <x:v>KP-012</x:v>
      </x:c>
      <x:c r="B13" s="20" t="str">
        <x:f>'Knowledge'!G13</x:f>
        <x:v>先做什么题</x:v>
      </x:c>
      <x:c r="C13" s="20" t="str">
        <x:f>'Knowledge'!H13</x:f>
        <x:v>First / Next Question</x:v>
      </x:c>
      <x:c r="D13" s="20" t="str">
        <x:f>'Knowledge'!E13</x:f>
        <x:v>🔴 必考 Must Know</x:v>
      </x:c>
      <x:c r="E13" s="20" t="str">
        <x:f>'Knowledge'!K13</x:f>
        <x:v>Not Started 未学</x:v>
      </x:c>
      <x:c r="F13" s="23" t="str">
        <x:f>IF('Knowledge'!M13="","",'Knowledge'!M13)</x:f>
      </x:c>
      <x:c r="G13" s="20" t="str">
        <x:f>IF(F13="","",F13-TODAY())</x:f>
      </x:c>
      <x:c r="H13" s="20" t="str">
        <x:f>IF(F13="","",IF(E13="Mastered 已掌握","30-day recall",IF(G13&lt;=0,"Review today",IF(G13&lt;=3,"Upcoming","Scheduled"))))</x:f>
      </x:c>
    </x:row>
    <x:row r="14">
      <x:c r="A14" s="20" t="str">
        <x:f>'Knowledge'!A14</x:f>
        <x:v>KP-013</x:v>
      </x:c>
      <x:c r="B14" s="20" t="str">
        <x:f>'Knowledge'!G14</x:f>
        <x:v>共同愿景</x:v>
      </x:c>
      <x:c r="C14" s="20" t="str">
        <x:f>'Knowledge'!H14</x:f>
        <x:v>Common Vision</x:v>
      </x:c>
      <x:c r="D14" s="20" t="str">
        <x:f>'Knowledge'!E14</x:f>
        <x:v>🟠 高频 High Frequency</x:v>
      </x:c>
      <x:c r="E14" s="20" t="str">
        <x:f>'Knowledge'!K14</x:f>
        <x:v>Not Started 未学</x:v>
      </x:c>
      <x:c r="F14" s="23" t="str">
        <x:f>IF('Knowledge'!M14="","",'Knowledge'!M14)</x:f>
      </x:c>
      <x:c r="G14" s="20" t="str">
        <x:f>IF(F14="","",F14-TODAY())</x:f>
      </x:c>
      <x:c r="H14" s="20" t="str">
        <x:f>IF(F14="","",IF(E14="Mastered 已掌握","30-day recall",IF(G14&lt;=0,"Review today",IF(G14&lt;=3,"Upcoming","Scheduled"))))</x:f>
      </x:c>
    </x:row>
    <x:row r="15">
      <x:c r="A15" s="20" t="str">
        <x:f>'Knowledge'!A15</x:f>
        <x:v>KP-014</x:v>
      </x:c>
      <x:c r="B15" s="20" t="str">
        <x:f>'Knowledge'!G15</x:f>
        <x:v>愿景误解根因</x:v>
      </x:c>
      <x:c r="C15" s="20" t="str">
        <x:f>'Knowledge'!H15</x:f>
        <x:v>Root Cause of Vision Misalignment</x:v>
      </x:c>
      <x:c r="D15" s="20" t="str">
        <x:f>'Knowledge'!E15</x:f>
        <x:v>🟠 高频 High Frequency</x:v>
      </x:c>
      <x:c r="E15" s="20" t="str">
        <x:f>'Knowledge'!K15</x:f>
        <x:v>Not Started 未学</x:v>
      </x:c>
      <x:c r="F15" s="23" t="str">
        <x:f>IF('Knowledge'!M15="","",'Knowledge'!M15)</x:f>
      </x:c>
      <x:c r="G15" s="20" t="str">
        <x:f>IF(F15="","",F15-TODAY())</x:f>
      </x:c>
      <x:c r="H15" s="20" t="str">
        <x:f>IF(F15="","",IF(E15="Mastered 已掌握","30-day recall",IF(G15&lt;=0,"Review today",IF(G15&lt;=3,"Upcoming","Scheduled"))))</x:f>
      </x:c>
    </x:row>
    <x:row r="16">
      <x:c r="A16" s="20" t="str">
        <x:f>'Knowledge'!A16</x:f>
        <x:v>KP-015</x:v>
      </x:c>
      <x:c r="B16" s="20" t="str">
        <x:f>'Knowledge'!G16</x:f>
        <x:v>冲突来源</x:v>
      </x:c>
      <x:c r="C16" s="20" t="str">
        <x:f>'Knowledge'!H16</x:f>
        <x:v>Conflict Sources</x:v>
      </x:c>
      <x:c r="D16" s="20" t="str">
        <x:f>'Knowledge'!E16</x:f>
        <x:v>🔴 必考 Must Know</x:v>
      </x:c>
      <x:c r="E16" s="20" t="str">
        <x:f>'Knowledge'!K16</x:f>
        <x:v>Not Started 未学</x:v>
      </x:c>
      <x:c r="F16" s="23" t="str">
        <x:f>IF('Knowledge'!M16="","",'Knowledge'!M16)</x:f>
      </x:c>
      <x:c r="G16" s="20" t="str">
        <x:f>IF(F16="","",F16-TODAY())</x:f>
      </x:c>
      <x:c r="H16" s="20" t="str">
        <x:f>IF(F16="","",IF(E16="Mastered 已掌握","30-day recall",IF(G16&lt;=0,"Review today",IF(G16&lt;=3,"Upcoming","Scheduled"))))</x:f>
      </x:c>
    </x:row>
    <x:row r="17">
      <x:c r="A17" s="20" t="str">
        <x:f>'Knowledge'!A17</x:f>
        <x:v>KP-016</x:v>
      </x:c>
      <x:c r="B17" s="20" t="str">
        <x:f>'Knowledge'!G17</x:f>
        <x:v>合作/解决问题</x:v>
      </x:c>
      <x:c r="C17" s="20" t="str">
        <x:f>'Knowledge'!H17</x:f>
        <x:v>Collaborate / Problem Solve</x:v>
      </x:c>
      <x:c r="D17" s="20" t="str">
        <x:f>'Knowledge'!E17</x:f>
        <x:v>🔴 必考 Must Know</x:v>
      </x:c>
      <x:c r="E17" s="20" t="str">
        <x:f>'Knowledge'!K17</x:f>
        <x:v>Not Started 未学</x:v>
      </x:c>
      <x:c r="F17" s="23" t="str">
        <x:f>IF('Knowledge'!M17="","",'Knowledge'!M17)</x:f>
      </x:c>
      <x:c r="G17" s="20" t="str">
        <x:f>IF(F17="","",F17-TODAY())</x:f>
      </x:c>
      <x:c r="H17" s="20" t="str">
        <x:f>IF(F17="","",IF(E17="Mastered 已掌握","30-day recall",IF(G17&lt;=0,"Review today",IF(G17&lt;=3,"Upcoming","Scheduled"))))</x:f>
      </x:c>
    </x:row>
    <x:row r="18">
      <x:c r="A18" s="20" t="str">
        <x:f>'Knowledge'!A18</x:f>
        <x:v>KP-017</x:v>
      </x:c>
      <x:c r="B18" s="20" t="str">
        <x:f>'Knowledge'!G18</x:f>
        <x:v>妥协/调和</x:v>
      </x:c>
      <x:c r="C18" s="20" t="str">
        <x:f>'Knowledge'!H18</x:f>
        <x:v>Compromise / Reconcile</x:v>
      </x:c>
      <x:c r="D18" s="20" t="str">
        <x:f>'Knowledge'!E18</x:f>
        <x:v>🟡 易错 Easy to Confuse</x:v>
      </x:c>
      <x:c r="E18" s="20" t="str">
        <x:f>'Knowledge'!K18</x:f>
        <x:v>Not Started 未学</x:v>
      </x:c>
      <x:c r="F18" s="23" t="str">
        <x:f>IF('Knowledge'!M18="","",'Knowledge'!M18)</x:f>
      </x:c>
      <x:c r="G18" s="20" t="str">
        <x:f>IF(F18="","",F18-TODAY())</x:f>
      </x:c>
      <x:c r="H18" s="20" t="str">
        <x:f>IF(F18="","",IF(E18="Mastered 已掌握","30-day recall",IF(G18&lt;=0,"Review today",IF(G18&lt;=3,"Upcoming","Scheduled"))))</x:f>
      </x:c>
    </x:row>
    <x:row r="19">
      <x:c r="A19" s="20" t="str">
        <x:f>'Knowledge'!A19</x:f>
        <x:v>KP-018</x:v>
      </x:c>
      <x:c r="B19" s="20" t="str">
        <x:f>'Knowledge'!G19</x:f>
        <x:v>缓和/包容</x:v>
      </x:c>
      <x:c r="C19" s="20" t="str">
        <x:f>'Knowledge'!H19</x:f>
        <x:v>Smooth / Accommodate</x:v>
      </x:c>
      <x:c r="D19" s="20" t="str">
        <x:f>'Knowledge'!E19</x:f>
        <x:v>🟡 易错 Easy to Confuse</x:v>
      </x:c>
      <x:c r="E19" s="20" t="str">
        <x:f>'Knowledge'!K19</x:f>
        <x:v>Not Started 未学</x:v>
      </x:c>
      <x:c r="F19" s="23" t="str">
        <x:f>IF('Knowledge'!M19="","",'Knowledge'!M19)</x:f>
      </x:c>
      <x:c r="G19" s="20" t="str">
        <x:f>IF(F19="","",F19-TODAY())</x:f>
      </x:c>
      <x:c r="H19" s="20" t="str">
        <x:f>IF(F19="","",IF(E19="Mastered 已掌握","30-day recall",IF(G19&lt;=0,"Review today",IF(G19&lt;=3,"Upcoming","Scheduled"))))</x:f>
      </x:c>
    </x:row>
    <x:row r="20">
      <x:c r="A20" s="20" t="str">
        <x:f>'Knowledge'!A20</x:f>
        <x:v>KP-019</x:v>
      </x:c>
      <x:c r="B20" s="20" t="str">
        <x:f>'Knowledge'!G20</x:f>
        <x:v>强迫/命令</x:v>
      </x:c>
      <x:c r="C20" s="20" t="str">
        <x:f>'Knowledge'!H20</x:f>
        <x:v>Force / Direct</x:v>
      </x:c>
      <x:c r="D20" s="20" t="str">
        <x:f>'Knowledge'!E20</x:f>
        <x:v>🟡 易错 Easy to Confuse</x:v>
      </x:c>
      <x:c r="E20" s="20" t="str">
        <x:f>'Knowledge'!K20</x:f>
        <x:v>Not Started 未学</x:v>
      </x:c>
      <x:c r="F20" s="23" t="str">
        <x:f>IF('Knowledge'!M20="","",'Knowledge'!M20)</x:f>
      </x:c>
      <x:c r="G20" s="20" t="str">
        <x:f>IF(F20="","",F20-TODAY())</x:f>
      </x:c>
      <x:c r="H20" s="20" t="str">
        <x:f>IF(F20="","",IF(E20="Mastered 已掌握","30-day recall",IF(G20&lt;=0,"Review today",IF(G20&lt;=3,"Upcoming","Scheduled"))))</x:f>
      </x:c>
    </x:row>
    <x:row r="21">
      <x:c r="A21" s="20" t="str">
        <x:f>'Knowledge'!A21</x:f>
        <x:v>KP-020</x:v>
      </x:c>
      <x:c r="B21" s="20" t="str">
        <x:f>'Knowledge'!G21</x:f>
        <x:v>撤退/回避</x:v>
      </x:c>
      <x:c r="C21" s="20" t="str">
        <x:f>'Knowledge'!H21</x:f>
        <x:v>Withdraw / Avoid</x:v>
      </x:c>
      <x:c r="D21" s="20" t="str">
        <x:f>'Knowledge'!E21</x:f>
        <x:v>🟡 易错 Easy to Confuse</x:v>
      </x:c>
      <x:c r="E21" s="20" t="str">
        <x:f>'Knowledge'!K21</x:f>
        <x:v>Not Started 未学</x:v>
      </x:c>
      <x:c r="F21" s="23" t="str">
        <x:f>IF('Knowledge'!M21="","",'Knowledge'!M21)</x:f>
      </x:c>
      <x:c r="G21" s="20" t="str">
        <x:f>IF(F21="","",F21-TODAY())</x:f>
      </x:c>
      <x:c r="H21" s="20" t="str">
        <x:f>IF(F21="","",IF(E21="Mastered 已掌握","30-day recall",IF(G21&lt;=0,"Review today",IF(G21&lt;=3,"Upcoming","Scheduled"))))</x:f>
      </x:c>
    </x:row>
    <x:row r="22">
      <x:c r="A22" s="20" t="str">
        <x:f>'Knowledge'!A22</x:f>
        <x:v>KP-021</x:v>
      </x:c>
      <x:c r="B22" s="20" t="str">
        <x:f>'Knowledge'!G22</x:f>
        <x:v>团队基本规则</x:v>
      </x:c>
      <x:c r="C22" s="20" t="str">
        <x:f>'Knowledge'!H22</x:f>
        <x:v>Team Ground Rules</x:v>
      </x:c>
      <x:c r="D22" s="20" t="str">
        <x:f>'Knowledge'!E22</x:f>
        <x:v>🟠 高频 High Frequency</x:v>
      </x:c>
      <x:c r="E22" s="20" t="str">
        <x:f>'Knowledge'!K22</x:f>
        <x:v>Not Started 未学</x:v>
      </x:c>
      <x:c r="F22" s="23" t="str">
        <x:f>IF('Knowledge'!M22="","",'Knowledge'!M22)</x:f>
      </x:c>
      <x:c r="G22" s="20" t="str">
        <x:f>IF(F22="","",F22-TODAY())</x:f>
      </x:c>
      <x:c r="H22" s="20" t="str">
        <x:f>IF(F22="","",IF(E22="Mastered 已掌握","30-day recall",IF(G22&lt;=0,"Review today",IF(G22&lt;=3,"Upcoming","Scheduled"))))</x:f>
      </x:c>
    </x:row>
    <x:row r="23">
      <x:c r="A23" s="20" t="str">
        <x:f>'Knowledge'!A23</x:f>
        <x:v>KP-022</x:v>
      </x:c>
      <x:c r="B23" s="20" t="str">
        <x:f>'Knowledge'!G23</x:f>
        <x:v>服务型领导</x:v>
      </x:c>
      <x:c r="C23" s="20" t="str">
        <x:f>'Knowledge'!H23</x:f>
        <x:v>Servant Leadership</x:v>
      </x:c>
      <x:c r="D23" s="20" t="str">
        <x:f>'Knowledge'!E23</x:f>
        <x:v>🔴 必考 Must Know</x:v>
      </x:c>
      <x:c r="E23" s="20" t="str">
        <x:f>'Knowledge'!K23</x:f>
        <x:v>Not Started 未学</x:v>
      </x:c>
      <x:c r="F23" s="23" t="str">
        <x:f>IF('Knowledge'!M23="","",'Knowledge'!M23)</x:f>
      </x:c>
      <x:c r="G23" s="20" t="str">
        <x:f>IF(F23="","",F23-TODAY())</x:f>
      </x:c>
      <x:c r="H23" s="20" t="str">
        <x:f>IF(F23="","",IF(E23="Mastered 已掌握","30-day recall",IF(G23&lt;=0,"Review today",IF(G23&lt;=3,"Upcoming","Scheduled"))))</x:f>
      </x:c>
    </x:row>
    <x:row r="24">
      <x:c r="A24" s="20" t="str">
        <x:f>'Knowledge'!A24</x:f>
        <x:v>KP-023</x:v>
      </x:c>
      <x:c r="B24" s="20" t="str">
        <x:f>'Knowledge'!G24</x:f>
        <x:v>情境领导</x:v>
      </x:c>
      <x:c r="C24" s="20" t="str">
        <x:f>'Knowledge'!H24</x:f>
        <x:v>Situational Leadership</x:v>
      </x:c>
      <x:c r="D24" s="20" t="str">
        <x:f>'Knowledge'!E24</x:f>
        <x:v>🟠 高频 High Frequency</x:v>
      </x:c>
      <x:c r="E24" s="20" t="str">
        <x:f>'Knowledge'!K24</x:f>
        <x:v>Not Started 未学</x:v>
      </x:c>
      <x:c r="F24" s="23" t="str">
        <x:f>IF('Knowledge'!M24="","",'Knowledge'!M24)</x:f>
      </x:c>
      <x:c r="G24" s="20" t="str">
        <x:f>IF(F24="","",F24-TODAY())</x:f>
      </x:c>
      <x:c r="H24" s="20" t="str">
        <x:f>IF(F24="","",IF(E24="Mastered 已掌握","30-day recall",IF(G24&lt;=0,"Review today",IF(G24&lt;=3,"Upcoming","Scheduled"))))</x:f>
      </x:c>
    </x:row>
    <x:row r="25">
      <x:c r="A25" s="20" t="str">
        <x:f>'Knowledge'!A25</x:f>
        <x:v>KP-024</x:v>
      </x:c>
      <x:c r="B25" s="20" t="str">
        <x:f>'Knowledge'!G25</x:f>
        <x:v>授权</x:v>
      </x:c>
      <x:c r="C25" s="20" t="str">
        <x:f>'Knowledge'!H25</x:f>
        <x:v>Empowerment</x:v>
      </x:c>
      <x:c r="D25" s="20" t="str">
        <x:f>'Knowledge'!E25</x:f>
        <x:v>🔴 必考 Must Know</x:v>
      </x:c>
      <x:c r="E25" s="20" t="str">
        <x:f>'Knowledge'!K25</x:f>
        <x:v>Not Started 未学</x:v>
      </x:c>
      <x:c r="F25" s="23" t="str">
        <x:f>IF('Knowledge'!M25="","",'Knowledge'!M25)</x:f>
      </x:c>
      <x:c r="G25" s="20" t="str">
        <x:f>IF(F25="","",F25-TODAY())</x:f>
      </x:c>
      <x:c r="H25" s="20" t="str">
        <x:f>IF(F25="","",IF(E25="Mastered 已掌握","30-day recall",IF(G25&lt;=0,"Review today",IF(G25&lt;=3,"Upcoming","Scheduled"))))</x:f>
      </x:c>
    </x:row>
    <x:row r="26">
      <x:c r="A26" s="20" t="str">
        <x:f>'Knowledge'!A26</x:f>
        <x:v>KP-025</x:v>
      </x:c>
      <x:c r="B26" s="20" t="str">
        <x:f>'Knowledge'!G26</x:f>
        <x:v>心理安全</x:v>
      </x:c>
      <x:c r="C26" s="20" t="str">
        <x:f>'Knowledge'!H26</x:f>
        <x:v>Psychological Safety</x:v>
      </x:c>
      <x:c r="D26" s="20" t="str">
        <x:f>'Knowledge'!E26</x:f>
        <x:v>🟠 高频 High Frequency</x:v>
      </x:c>
      <x:c r="E26" s="20" t="str">
        <x:f>'Knowledge'!K26</x:f>
        <x:v>Not Started 未学</x:v>
      </x:c>
      <x:c r="F26" s="23" t="str">
        <x:f>IF('Knowledge'!M26="","",'Knowledge'!M26)</x:f>
      </x:c>
      <x:c r="G26" s="20" t="str">
        <x:f>IF(F26="","",F26-TODAY())</x:f>
      </x:c>
      <x:c r="H26" s="20" t="str">
        <x:f>IF(F26="","",IF(E26="Mastered 已掌握","30-day recall",IF(G26&lt;=0,"Review today",IF(G26&lt;=3,"Upcoming","Scheduled"))))</x:f>
      </x:c>
    </x:row>
    <x:row r="27">
      <x:c r="A27" s="20" t="str">
        <x:f>'Knowledge'!A27</x:f>
        <x:v>KP-026</x:v>
      </x:c>
      <x:c r="B27" s="20" t="str">
        <x:f>'Knowledge'!G27</x:f>
        <x:v>角色职责</x:v>
      </x:c>
      <x:c r="C27" s="20" t="str">
        <x:f>'Knowledge'!H27</x:f>
        <x:v>Roles and Responsibilities</x:v>
      </x:c>
      <x:c r="D27" s="20" t="str">
        <x:f>'Knowledge'!E27</x:f>
        <x:v>🟠 高频 High Frequency</x:v>
      </x:c>
      <x:c r="E27" s="20" t="str">
        <x:f>'Knowledge'!K27</x:f>
        <x:v>Not Started 未学</x:v>
      </x:c>
      <x:c r="F27" s="23" t="str">
        <x:f>IF('Knowledge'!M27="","",'Knowledge'!M27)</x:f>
      </x:c>
      <x:c r="G27" s="20" t="str">
        <x:f>IF(F27="","",F27-TODAY())</x:f>
      </x:c>
      <x:c r="H27" s="20" t="str">
        <x:f>IF(F27="","",IF(E27="Mastered 已掌握","30-day recall",IF(G27&lt;=0,"Review today",IF(G27&lt;=3,"Upcoming","Scheduled"))))</x:f>
      </x:c>
    </x:row>
    <x:row r="28">
      <x:c r="A28" s="20" t="str">
        <x:f>'Knowledge'!A28</x:f>
        <x:v>KP-027</x:v>
      </x:c>
      <x:c r="B28" s="20" t="str">
        <x:f>'Knowledge'!G28</x:f>
        <x:v>RACI</x:v>
      </x:c>
      <x:c r="C28" s="20" t="str">
        <x:f>'Knowledge'!H28</x:f>
        <x:v>RACI Matrix</x:v>
      </x:c>
      <x:c r="D28" s="20" t="str">
        <x:f>'Knowledge'!E28</x:f>
        <x:v>🟡 易错 Easy to Confuse</x:v>
      </x:c>
      <x:c r="E28" s="20" t="str">
        <x:f>'Knowledge'!K28</x:f>
        <x:v>Not Started 未学</x:v>
      </x:c>
      <x:c r="F28" s="23" t="str">
        <x:f>IF('Knowledge'!M28="","",'Knowledge'!M28)</x:f>
      </x:c>
      <x:c r="G28" s="20" t="str">
        <x:f>IF(F28="","",F28-TODAY())</x:f>
      </x:c>
      <x:c r="H28" s="20" t="str">
        <x:f>IF(F28="","",IF(E28="Mastered 已掌握","30-day recall",IF(G28&lt;=0,"Review today",IF(G28&lt;=3,"Upcoming","Scheduled"))))</x:f>
      </x:c>
    </x:row>
    <x:row r="29">
      <x:c r="A29" s="20" t="str">
        <x:f>'Knowledge'!A29</x:f>
        <x:v>KP-028</x:v>
      </x:c>
      <x:c r="B29" s="20" t="str">
        <x:f>'Knowledge'!G29</x:f>
        <x:v>教练</x:v>
      </x:c>
      <x:c r="C29" s="20" t="str">
        <x:f>'Knowledge'!H29</x:f>
        <x:v>Coaching</x:v>
      </x:c>
      <x:c r="D29" s="20" t="str">
        <x:f>'Knowledge'!E29</x:f>
        <x:v>🟠 高频 High Frequency</x:v>
      </x:c>
      <x:c r="E29" s="20" t="str">
        <x:f>'Knowledge'!K29</x:f>
        <x:v>Not Started 未学</x:v>
      </x:c>
      <x:c r="F29" s="23" t="str">
        <x:f>IF('Knowledge'!M29="","",'Knowledge'!M29)</x:f>
      </x:c>
      <x:c r="G29" s="20" t="str">
        <x:f>IF(F29="","",F29-TODAY())</x:f>
      </x:c>
      <x:c r="H29" s="20" t="str">
        <x:f>IF(F29="","",IF(E29="Mastered 已掌握","30-day recall",IF(G29&lt;=0,"Review today",IF(G29&lt;=3,"Upcoming","Scheduled"))))</x:f>
      </x:c>
    </x:row>
    <x:row r="30">
      <x:c r="A30" s="20" t="str">
        <x:f>'Knowledge'!A30</x:f>
        <x:v>KP-029</x:v>
      </x:c>
      <x:c r="B30" s="20" t="str">
        <x:f>'Knowledge'!G30</x:f>
        <x:v>指导</x:v>
      </x:c>
      <x:c r="C30" s="20" t="str">
        <x:f>'Knowledge'!H30</x:f>
        <x:v>Mentoring</x:v>
      </x:c>
      <x:c r="D30" s="20" t="str">
        <x:f>'Knowledge'!E30</x:f>
        <x:v>🟠 高频 High Frequency</x:v>
      </x:c>
      <x:c r="E30" s="20" t="str">
        <x:f>'Knowledge'!K30</x:f>
        <x:v>Not Started 未学</x:v>
      </x:c>
      <x:c r="F30" s="23" t="str">
        <x:f>IF('Knowledge'!M30="","",'Knowledge'!M30)</x:f>
      </x:c>
      <x:c r="G30" s="20" t="str">
        <x:f>IF(F30="","",F30-TODAY())</x:f>
      </x:c>
      <x:c r="H30" s="20" t="str">
        <x:f>IF(F30="","",IF(E30="Mastered 已掌握","30-day recall",IF(G30&lt;=0,"Review today",IF(G30&lt;=3,"Upcoming","Scheduled"))))</x:f>
      </x:c>
    </x:row>
    <x:row r="31">
      <x:c r="A31" s="20" t="str">
        <x:f>'Knowledge'!A31</x:f>
        <x:v>KP-030</x:v>
      </x:c>
      <x:c r="B31" s="20" t="str">
        <x:f>'Knowledge'!G31</x:f>
        <x:v>干系人识别</x:v>
      </x:c>
      <x:c r="C31" s="20" t="str">
        <x:f>'Knowledge'!H31</x:f>
        <x:v>Identify Stakeholders</x:v>
      </x:c>
      <x:c r="D31" s="20" t="str">
        <x:f>'Knowledge'!E31</x:f>
        <x:v>🔴 必考 Must Know</x:v>
      </x:c>
      <x:c r="E31" s="20" t="str">
        <x:f>'Knowledge'!K31</x:f>
        <x:v>Not Started 未学</x:v>
      </x:c>
      <x:c r="F31" s="23" t="str">
        <x:f>IF('Knowledge'!M31="","",'Knowledge'!M31)</x:f>
      </x:c>
      <x:c r="G31" s="20" t="str">
        <x:f>IF(F31="","",F31-TODAY())</x:f>
      </x:c>
      <x:c r="H31" s="20" t="str">
        <x:f>IF(F31="","",IF(E31="Mastered 已掌握","30-day recall",IF(G31&lt;=0,"Review today",IF(G31&lt;=3,"Upcoming","Scheduled"))))</x:f>
      </x:c>
    </x:row>
    <x:row r="32">
      <x:c r="A32" s="20" t="str">
        <x:f>'Knowledge'!A32</x:f>
        <x:v>KP-031</x:v>
      </x:c>
      <x:c r="B32" s="20" t="str">
        <x:f>'Knowledge'!G32</x:f>
        <x:v>权力利益方格</x:v>
      </x:c>
      <x:c r="C32" s="20" t="str">
        <x:f>'Knowledge'!H32</x:f>
        <x:v>Power/Interest Grid</x:v>
      </x:c>
      <x:c r="D32" s="20" t="str">
        <x:f>'Knowledge'!E32</x:f>
        <x:v>🟠 高频 High Frequency</x:v>
      </x:c>
      <x:c r="E32" s="20" t="str">
        <x:f>'Knowledge'!K32</x:f>
        <x:v>Not Started 未学</x:v>
      </x:c>
      <x:c r="F32" s="23" t="str">
        <x:f>IF('Knowledge'!M32="","",'Knowledge'!M32)</x:f>
      </x:c>
      <x:c r="G32" s="20" t="str">
        <x:f>IF(F32="","",F32-TODAY())</x:f>
      </x:c>
      <x:c r="H32" s="20" t="str">
        <x:f>IF(F32="","",IF(E32="Mastered 已掌握","30-day recall",IF(G32&lt;=0,"Review today",IF(G32&lt;=3,"Upcoming","Scheduled"))))</x:f>
      </x:c>
    </x:row>
    <x:row r="33">
      <x:c r="A33" s="20" t="str">
        <x:f>'Knowledge'!A33</x:f>
        <x:v>KP-032</x:v>
      </x:c>
      <x:c r="B33" s="20" t="str">
        <x:f>'Knowledge'!G33</x:f>
        <x:v>干系人登记册</x:v>
      </x:c>
      <x:c r="C33" s="20" t="str">
        <x:f>'Knowledge'!H33</x:f>
        <x:v>Stakeholder Register</x:v>
      </x:c>
      <x:c r="D33" s="20" t="str">
        <x:f>'Knowledge'!E33</x:f>
        <x:v>🟠 高频 High Frequency</x:v>
      </x:c>
      <x:c r="E33" s="20" t="str">
        <x:f>'Knowledge'!K33</x:f>
        <x:v>Not Started 未学</x:v>
      </x:c>
      <x:c r="F33" s="23" t="str">
        <x:f>IF('Knowledge'!M33="","",'Knowledge'!M33)</x:f>
      </x:c>
      <x:c r="G33" s="20" t="str">
        <x:f>IF(F33="","",F33-TODAY())</x:f>
      </x:c>
      <x:c r="H33" s="20" t="str">
        <x:f>IF(F33="","",IF(E33="Mastered 已掌握","30-day recall",IF(G33&lt;=0,"Review today",IF(G33&lt;=3,"Upcoming","Scheduled"))))</x:f>
      </x:c>
    </x:row>
    <x:row r="34">
      <x:c r="A34" s="20" t="str">
        <x:f>'Knowledge'!A34</x:f>
        <x:v>KP-033</x:v>
      </x:c>
      <x:c r="B34" s="20" t="str">
        <x:f>'Knowledge'!G34</x:f>
        <x:v>干系人参与计划</x:v>
      </x:c>
      <x:c r="C34" s="20" t="str">
        <x:f>'Knowledge'!H34</x:f>
        <x:v>Stakeholder Engagement Plan</x:v>
      </x:c>
      <x:c r="D34" s="20" t="str">
        <x:f>'Knowledge'!E34</x:f>
        <x:v>🔴 必考 Must Know</x:v>
      </x:c>
      <x:c r="E34" s="20" t="str">
        <x:f>'Knowledge'!K34</x:f>
        <x:v>Not Started 未学</x:v>
      </x:c>
      <x:c r="F34" s="23" t="str">
        <x:f>IF('Knowledge'!M34="","",'Knowledge'!M34)</x:f>
      </x:c>
      <x:c r="G34" s="20" t="str">
        <x:f>IF(F34="","",F34-TODAY())</x:f>
      </x:c>
      <x:c r="H34" s="20" t="str">
        <x:f>IF(F34="","",IF(E34="Mastered 已掌握","30-day recall",IF(G34&lt;=0,"Review today",IF(G34&lt;=3,"Upcoming","Scheduled"))))</x:f>
      </x:c>
    </x:row>
    <x:row r="35">
      <x:c r="A35" s="20" t="str">
        <x:f>'Knowledge'!A35</x:f>
        <x:v>KP-034</x:v>
      </x:c>
      <x:c r="B35" s="20" t="str">
        <x:f>'Knowledge'!G35</x:f>
        <x:v>信任与影响</x:v>
      </x:c>
      <x:c r="C35" s="20" t="str">
        <x:f>'Knowledge'!H35</x:f>
        <x:v>Trust and Influence</x:v>
      </x:c>
      <x:c r="D35" s="20" t="str">
        <x:f>'Knowledge'!E35</x:f>
        <x:v>🟠 高频 High Frequency</x:v>
      </x:c>
      <x:c r="E35" s="20" t="str">
        <x:f>'Knowledge'!K35</x:f>
        <x:v>Not Started 未学</x:v>
      </x:c>
      <x:c r="F35" s="23" t="str">
        <x:f>IF('Knowledge'!M35="","",'Knowledge'!M35)</x:f>
      </x:c>
      <x:c r="G35" s="20" t="str">
        <x:f>IF(F35="","",F35-TODAY())</x:f>
      </x:c>
      <x:c r="H35" s="20" t="str">
        <x:f>IF(F35="","",IF(E35="Mastered 已掌握","30-day recall",IF(G35&lt;=0,"Review today",IF(G35&lt;=3,"Upcoming","Scheduled"))))</x:f>
      </x:c>
    </x:row>
    <x:row r="36">
      <x:c r="A36" s="20" t="str">
        <x:f>'Knowledge'!A36</x:f>
        <x:v>KP-035</x:v>
      </x:c>
      <x:c r="B36" s="20" t="str">
        <x:f>'Knowledge'!G36</x:f>
        <x:v>期望对齐</x:v>
      </x:c>
      <x:c r="C36" s="20" t="str">
        <x:f>'Knowledge'!H36</x:f>
        <x:v>Align Expectations</x:v>
      </x:c>
      <x:c r="D36" s="20" t="str">
        <x:f>'Knowledge'!E36</x:f>
        <x:v>🔴 必考 Must Know</x:v>
      </x:c>
      <x:c r="E36" s="20" t="str">
        <x:f>'Knowledge'!K36</x:f>
        <x:v>Not Started 未学</x:v>
      </x:c>
      <x:c r="F36" s="23" t="str">
        <x:f>IF('Knowledge'!M36="","",'Knowledge'!M36)</x:f>
      </x:c>
      <x:c r="G36" s="20" t="str">
        <x:f>IF(F36="","",F36-TODAY())</x:f>
      </x:c>
      <x:c r="H36" s="20" t="str">
        <x:f>IF(F36="","",IF(E36="Mastered 已掌握","30-day recall",IF(G36&lt;=0,"Review today",IF(G36&lt;=3,"Upcoming","Scheduled"))))</x:f>
      </x:c>
    </x:row>
    <x:row r="37">
      <x:c r="A37" s="20" t="str">
        <x:f>'Knowledge'!A37</x:f>
        <x:v>KP-036</x:v>
      </x:c>
      <x:c r="B37" s="20" t="str">
        <x:f>'Knowledge'!G37</x:f>
        <x:v>参与度评估矩阵</x:v>
      </x:c>
      <x:c r="C37" s="20" t="str">
        <x:f>'Knowledge'!H37</x:f>
        <x:v>Stakeholder Engagement Assessment Matrix</x:v>
      </x:c>
      <x:c r="D37" s="20" t="str">
        <x:f>'Knowledge'!E37</x:f>
        <x:v>🟡 易错 Easy to Confuse</x:v>
      </x:c>
      <x:c r="E37" s="20" t="str">
        <x:f>'Knowledge'!K37</x:f>
        <x:v>Not Started 未学</x:v>
      </x:c>
      <x:c r="F37" s="23" t="str">
        <x:f>IF('Knowledge'!M37="","",'Knowledge'!M37)</x:f>
      </x:c>
      <x:c r="G37" s="20" t="str">
        <x:f>IF(F37="","",F37-TODAY())</x:f>
      </x:c>
      <x:c r="H37" s="20" t="str">
        <x:f>IF(F37="","",IF(E37="Mastered 已掌握","30-day recall",IF(G37&lt;=0,"Review today",IF(G37&lt;=3,"Upcoming","Scheduled"))))</x:f>
      </x:c>
    </x:row>
    <x:row r="38">
      <x:c r="A38" s="20" t="str">
        <x:f>'Knowledge'!A38</x:f>
        <x:v>KP-037</x:v>
      </x:c>
      <x:c r="B38" s="20" t="str">
        <x:f>'Knowledge'!G38</x:f>
        <x:v>客户满意度</x:v>
      </x:c>
      <x:c r="C38" s="20" t="str">
        <x:f>'Knowledge'!H38</x:f>
        <x:v>Customer Satisfaction</x:v>
      </x:c>
      <x:c r="D38" s="20" t="str">
        <x:f>'Knowledge'!E38</x:f>
        <x:v>🟠 高频 High Frequency</x:v>
      </x:c>
      <x:c r="E38" s="20" t="str">
        <x:f>'Knowledge'!K38</x:f>
        <x:v>Not Started 未学</x:v>
      </x:c>
      <x:c r="F38" s="23" t="str">
        <x:f>IF('Knowledge'!M38="","",'Knowledge'!M38)</x:f>
      </x:c>
      <x:c r="G38" s="20" t="str">
        <x:f>IF(F38="","",F38-TODAY())</x:f>
      </x:c>
      <x:c r="H38" s="20" t="str">
        <x:f>IF(F38="","",IF(E38="Mastered 已掌握","30-day recall",IF(G38&lt;=0,"Review today",IF(G38&lt;=3,"Upcoming","Scheduled"))))</x:f>
      </x:c>
    </x:row>
    <x:row r="39">
      <x:c r="A39" s="20" t="str">
        <x:f>'Knowledge'!A39</x:f>
        <x:v>KP-038</x:v>
      </x:c>
      <x:c r="B39" s="20" t="str">
        <x:f>'Knowledge'!G39</x:f>
        <x:v>知识转移</x:v>
      </x:c>
      <x:c r="C39" s="20" t="str">
        <x:f>'Knowledge'!H39</x:f>
        <x:v>Knowledge Transfer</x:v>
      </x:c>
      <x:c r="D39" s="20" t="str">
        <x:f>'Knowledge'!E39</x:f>
        <x:v>🔴 必考 Must Know</x:v>
      </x:c>
      <x:c r="E39" s="20" t="str">
        <x:f>'Knowledge'!K39</x:f>
        <x:v>Not Started 未学</x:v>
      </x:c>
      <x:c r="F39" s="23" t="str">
        <x:f>IF('Knowledge'!M39="","",'Knowledge'!M39)</x:f>
      </x:c>
      <x:c r="G39" s="20" t="str">
        <x:f>IF(F39="","",F39-TODAY())</x:f>
      </x:c>
      <x:c r="H39" s="20" t="str">
        <x:f>IF(F39="","",IF(E39="Mastered 已掌握","30-day recall",IF(G39&lt;=0,"Review today",IF(G39&lt;=3,"Upcoming","Scheduled"))))</x:f>
      </x:c>
    </x:row>
    <x:row r="40">
      <x:c r="A40" s="20" t="str">
        <x:f>'Knowledge'!A40</x:f>
        <x:v>KP-039</x:v>
      </x:c>
      <x:c r="B40" s="20" t="str">
        <x:f>'Knowledge'!G40</x:f>
        <x:v>经验教训登记册</x:v>
      </x:c>
      <x:c r="C40" s="20" t="str">
        <x:f>'Knowledge'!H40</x:f>
        <x:v>Lessons Learned Register</x:v>
      </x:c>
      <x:c r="D40" s="20" t="str">
        <x:f>'Knowledge'!E40</x:f>
        <x:v>🟠 高频 High Frequency</x:v>
      </x:c>
      <x:c r="E40" s="20" t="str">
        <x:f>'Knowledge'!K40</x:f>
        <x:v>Not Started 未学</x:v>
      </x:c>
      <x:c r="F40" s="23" t="str">
        <x:f>IF('Knowledge'!M40="","",'Knowledge'!M40)</x:f>
      </x:c>
      <x:c r="G40" s="20" t="str">
        <x:f>IF(F40="","",F40-TODAY())</x:f>
      </x:c>
      <x:c r="H40" s="20" t="str">
        <x:f>IF(F40="","",IF(E40="Mastered 已掌握","30-day recall",IF(G40&lt;=0,"Review today",IF(G40&lt;=3,"Upcoming","Scheduled"))))</x:f>
      </x:c>
    </x:row>
    <x:row r="41">
      <x:c r="A41" s="20" t="str">
        <x:f>'Knowledge'!A41</x:f>
        <x:v>KP-040</x:v>
      </x:c>
      <x:c r="B41" s="20" t="str">
        <x:f>'Knowledge'!G41</x:f>
        <x:v>结对与跟岗</x:v>
      </x:c>
      <x:c r="C41" s="20" t="str">
        <x:f>'Knowledge'!H41</x:f>
        <x:v>Pairing and Shadowing</x:v>
      </x:c>
      <x:c r="D41" s="20" t="str">
        <x:f>'Knowledge'!E41</x:f>
        <x:v>🟠 高频 High Frequency</x:v>
      </x:c>
      <x:c r="E41" s="20" t="str">
        <x:f>'Knowledge'!K41</x:f>
        <x:v>Not Started 未学</x:v>
      </x:c>
      <x:c r="F41" s="23" t="str">
        <x:f>IF('Knowledge'!M41="","",'Knowledge'!M41)</x:f>
      </x:c>
      <x:c r="G41" s="20" t="str">
        <x:f>IF(F41="","",F41-TODAY())</x:f>
      </x:c>
      <x:c r="H41" s="20" t="str">
        <x:f>IF(F41="","",IF(E41="Mastered 已掌握","30-day recall",IF(G41&lt;=0,"Review today",IF(G41&lt;=3,"Upcoming","Scheduled"))))</x:f>
      </x:c>
    </x:row>
    <x:row r="42">
      <x:c r="A42" s="20" t="str">
        <x:f>'Knowledge'!A42</x:f>
        <x:v>KP-041</x:v>
      </x:c>
      <x:c r="B42" s="20" t="str">
        <x:f>'Knowledge'!G42</x:f>
        <x:v>沟通管理计划</x:v>
      </x:c>
      <x:c r="C42" s="20" t="str">
        <x:f>'Knowledge'!H42</x:f>
        <x:v>Communications Management Plan</x:v>
      </x:c>
      <x:c r="D42" s="20" t="str">
        <x:f>'Knowledge'!E42</x:f>
        <x:v>🔴 必考 Must Know</x:v>
      </x:c>
      <x:c r="E42" s="20" t="str">
        <x:f>'Knowledge'!K42</x:f>
        <x:v>Not Started 未学</x:v>
      </x:c>
      <x:c r="F42" s="23" t="str">
        <x:f>IF('Knowledge'!M42="","",'Knowledge'!M42)</x:f>
      </x:c>
      <x:c r="G42" s="20" t="str">
        <x:f>IF(F42="","",F42-TODAY())</x:f>
      </x:c>
      <x:c r="H42" s="20" t="str">
        <x:f>IF(F42="","",IF(E42="Mastered 已掌握","30-day recall",IF(G42&lt;=0,"Review today",IF(G42&lt;=3,"Upcoming","Scheduled"))))</x:f>
      </x:c>
    </x:row>
    <x:row r="43">
      <x:c r="A43" s="20" t="str">
        <x:f>'Knowledge'!A43</x:f>
        <x:v>KP-042</x:v>
      </x:c>
      <x:c r="B43" s="20" t="str">
        <x:f>'Knowledge'!G43</x:f>
        <x:v>互动式沟通</x:v>
      </x:c>
      <x:c r="C43" s="20" t="str">
        <x:f>'Knowledge'!H43</x:f>
        <x:v>Interactive Communication</x:v>
      </x:c>
      <x:c r="D43" s="20" t="str">
        <x:f>'Knowledge'!E43</x:f>
        <x:v>🟠 高频 High Frequency</x:v>
      </x:c>
      <x:c r="E43" s="20" t="str">
        <x:f>'Knowledge'!K43</x:f>
        <x:v>Not Started 未学</x:v>
      </x:c>
      <x:c r="F43" s="23" t="str">
        <x:f>IF('Knowledge'!M43="","",'Knowledge'!M43)</x:f>
      </x:c>
      <x:c r="G43" s="20" t="str">
        <x:f>IF(F43="","",F43-TODAY())</x:f>
      </x:c>
      <x:c r="H43" s="20" t="str">
        <x:f>IF(F43="","",IF(E43="Mastered 已掌握","30-day recall",IF(G43&lt;=0,"Review today",IF(G43&lt;=3,"Upcoming","Scheduled"))))</x:f>
      </x:c>
    </x:row>
    <x:row r="44">
      <x:c r="A44" s="20" t="str">
        <x:f>'Knowledge'!A44</x:f>
        <x:v>KP-043</x:v>
      </x:c>
      <x:c r="B44" s="20" t="str">
        <x:f>'Knowledge'!G44</x:f>
        <x:v>推式沟通</x:v>
      </x:c>
      <x:c r="C44" s="20" t="str">
        <x:f>'Knowledge'!H44</x:f>
        <x:v>Push Communication</x:v>
      </x:c>
      <x:c r="D44" s="20" t="str">
        <x:f>'Knowledge'!E44</x:f>
        <x:v>🟡 易错 Easy to Confuse</x:v>
      </x:c>
      <x:c r="E44" s="20" t="str">
        <x:f>'Knowledge'!K44</x:f>
        <x:v>Not Started 未学</x:v>
      </x:c>
      <x:c r="F44" s="23" t="str">
        <x:f>IF('Knowledge'!M44="","",'Knowledge'!M44)</x:f>
      </x:c>
      <x:c r="G44" s="20" t="str">
        <x:f>IF(F44="","",F44-TODAY())</x:f>
      </x:c>
      <x:c r="H44" s="20" t="str">
        <x:f>IF(F44="","",IF(E44="Mastered 已掌握","30-day recall",IF(G44&lt;=0,"Review today",IF(G44&lt;=3,"Upcoming","Scheduled"))))</x:f>
      </x:c>
    </x:row>
    <x:row r="45">
      <x:c r="A45" s="20" t="str">
        <x:f>'Knowledge'!A45</x:f>
        <x:v>KP-044</x:v>
      </x:c>
      <x:c r="B45" s="20" t="str">
        <x:f>'Knowledge'!G45</x:f>
        <x:v>拉式沟通</x:v>
      </x:c>
      <x:c r="C45" s="20" t="str">
        <x:f>'Knowledge'!H45</x:f>
        <x:v>Pull Communication</x:v>
      </x:c>
      <x:c r="D45" s="20" t="str">
        <x:f>'Knowledge'!E45</x:f>
        <x:v>🟡 易错 Easy to Confuse</x:v>
      </x:c>
      <x:c r="E45" s="20" t="str">
        <x:f>'Knowledge'!K45</x:f>
        <x:v>Not Started 未学</x:v>
      </x:c>
      <x:c r="F45" s="23" t="str">
        <x:f>IF('Knowledge'!M45="","",'Knowledge'!M45)</x:f>
      </x:c>
      <x:c r="G45" s="20" t="str">
        <x:f>IF(F45="","",F45-TODAY())</x:f>
      </x:c>
      <x:c r="H45" s="20" t="str">
        <x:f>IF(F45="","",IF(E45="Mastered 已掌握","30-day recall",IF(G45&lt;=0,"Review today",IF(G45&lt;=3,"Upcoming","Scheduled"))))</x:f>
      </x:c>
    </x:row>
    <x:row r="46">
      <x:c r="A46" s="20" t="str">
        <x:f>'Knowledge'!A46</x:f>
        <x:v>KP-045</x:v>
      </x:c>
      <x:c r="B46" s="20" t="str">
        <x:f>'Knowledge'!G46</x:f>
        <x:v>反馈回路</x:v>
      </x:c>
      <x:c r="C46" s="20" t="str">
        <x:f>'Knowledge'!H46</x:f>
        <x:v>Feedback Loop</x:v>
      </x:c>
      <x:c r="D46" s="20" t="str">
        <x:f>'Knowledge'!E46</x:f>
        <x:v>🔴 必考 Must Know</x:v>
      </x:c>
      <x:c r="E46" s="20" t="str">
        <x:f>'Knowledge'!K46</x:f>
        <x:v>Not Started 未学</x:v>
      </x:c>
      <x:c r="F46" s="23" t="str">
        <x:f>IF('Knowledge'!M46="","",'Knowledge'!M46)</x:f>
      </x:c>
      <x:c r="G46" s="20" t="str">
        <x:f>IF(F46="","",F46-TODAY())</x:f>
      </x:c>
      <x:c r="H46" s="20" t="str">
        <x:f>IF(F46="","",IF(E46="Mastered 已掌握","30-day recall",IF(G46&lt;=0,"Review today",IF(G46&lt;=3,"Upcoming","Scheduled"))))</x:f>
      </x:c>
    </x:row>
    <x:row r="47">
      <x:c r="A47" s="20" t="str">
        <x:f>'Knowledge'!A47</x:f>
        <x:v>KP-046</x:v>
      </x:c>
      <x:c r="B47" s="20" t="str">
        <x:f>'Knowledge'!G47</x:f>
        <x:v>沟通渠道</x:v>
      </x:c>
      <x:c r="C47" s="20" t="str">
        <x:f>'Knowledge'!H47</x:f>
        <x:v>Communication Channels</x:v>
      </x:c>
      <x:c r="D47" s="20" t="str">
        <x:f>'Knowledge'!E47</x:f>
        <x:v>🟠 高频 High Frequency</x:v>
      </x:c>
      <x:c r="E47" s="20" t="str">
        <x:f>'Knowledge'!K47</x:f>
        <x:v>Not Started 未学</x:v>
      </x:c>
      <x:c r="F47" s="23" t="str">
        <x:f>IF('Knowledge'!M47="","",'Knowledge'!M47)</x:f>
      </x:c>
      <x:c r="G47" s="20" t="str">
        <x:f>IF(F47="","",F47-TODAY())</x:f>
      </x:c>
      <x:c r="H47" s="20" t="str">
        <x:f>IF(F47="","",IF(E47="Mastered 已掌握","30-day recall",IF(G47&lt;=0,"Review today",IF(G47&lt;=3,"Upcoming","Scheduled"))))</x:f>
      </x:c>
    </x:row>
    <x:row r="48">
      <x:c r="A48" s="20" t="str">
        <x:f>'Knowledge'!A48</x:f>
        <x:v>KP-047</x:v>
      </x:c>
      <x:c r="B48" s="20" t="str">
        <x:f>'Knowledge'!G48</x:f>
        <x:v>信息辐射源</x:v>
      </x:c>
      <x:c r="C48" s="20" t="str">
        <x:f>'Knowledge'!H48</x:f>
        <x:v>Information Radiator</x:v>
      </x:c>
      <x:c r="D48" s="20" t="str">
        <x:f>'Knowledge'!E48</x:f>
        <x:v>🟠 高频 High Frequency</x:v>
      </x:c>
      <x:c r="E48" s="20" t="str">
        <x:f>'Knowledge'!K48</x:f>
        <x:v>Not Started 未学</x:v>
      </x:c>
      <x:c r="F48" s="23" t="str">
        <x:f>IF('Knowledge'!M48="","",'Knowledge'!M48)</x:f>
      </x:c>
      <x:c r="G48" s="20" t="str">
        <x:f>IF(F48="","",F48-TODAY())</x:f>
      </x:c>
      <x:c r="H48" s="20" t="str">
        <x:f>IF(F48="","",IF(E48="Mastered 已掌握","30-day recall",IF(G48&lt;=0,"Review today",IF(G48&lt;=3,"Upcoming","Scheduled"))))</x:f>
      </x:c>
    </x:row>
    <x:row r="49">
      <x:c r="A49" s="20" t="str">
        <x:f>'Knowledge'!A49</x:f>
        <x:v>KP-048</x:v>
      </x:c>
      <x:c r="B49" s="20" t="str">
        <x:f>'Knowledge'!G49</x:f>
        <x:v>项目章程</x:v>
      </x:c>
      <x:c r="C49" s="20" t="str">
        <x:f>'Knowledge'!H49</x:f>
        <x:v>Project Charter</x:v>
      </x:c>
      <x:c r="D49" s="20" t="str">
        <x:f>'Knowledge'!E49</x:f>
        <x:v>🔴 必考 Must Know</x:v>
      </x:c>
      <x:c r="E49" s="20" t="str">
        <x:f>'Knowledge'!K49</x:f>
        <x:v>Not Started 未学</x:v>
      </x:c>
      <x:c r="F49" s="23" t="str">
        <x:f>IF('Knowledge'!M49="","",'Knowledge'!M49)</x:f>
      </x:c>
      <x:c r="G49" s="20" t="str">
        <x:f>IF(F49="","",F49-TODAY())</x:f>
      </x:c>
      <x:c r="H49" s="20" t="str">
        <x:f>IF(F49="","",IF(E49="Mastered 已掌握","30-day recall",IF(G49&lt;=0,"Review today",IF(G49&lt;=3,"Upcoming","Scheduled"))))</x:f>
      </x:c>
    </x:row>
    <x:row r="50">
      <x:c r="A50" s="20" t="str">
        <x:f>'Knowledge'!A50</x:f>
        <x:v>KP-049</x:v>
      </x:c>
      <x:c r="B50" s="20" t="str">
        <x:f>'Knowledge'!G50</x:f>
        <x:v>商业论证</x:v>
      </x:c>
      <x:c r="C50" s="20" t="str">
        <x:f>'Knowledge'!H50</x:f>
        <x:v>Business Case</x:v>
      </x:c>
      <x:c r="D50" s="20" t="str">
        <x:f>'Knowledge'!E50</x:f>
        <x:v>🟠 高频 High Frequency</x:v>
      </x:c>
      <x:c r="E50" s="20" t="str">
        <x:f>'Knowledge'!K50</x:f>
        <x:v>Not Started 未学</x:v>
      </x:c>
      <x:c r="F50" s="23" t="str">
        <x:f>IF('Knowledge'!M50="","",'Knowledge'!M50)</x:f>
      </x:c>
      <x:c r="G50" s="20" t="str">
        <x:f>IF(F50="","",F50-TODAY())</x:f>
      </x:c>
      <x:c r="H50" s="20" t="str">
        <x:f>IF(F50="","",IF(E50="Mastered 已掌握","30-day recall",IF(G50&lt;=0,"Review today",IF(G50&lt;=3,"Upcoming","Scheduled"))))</x:f>
      </x:c>
    </x:row>
    <x:row r="51">
      <x:c r="A51" s="20" t="str">
        <x:f>'Knowledge'!A51</x:f>
        <x:v>KP-050</x:v>
      </x:c>
      <x:c r="B51" s="20" t="str">
        <x:f>'Knowledge'!G51</x:f>
        <x:v>收益管理计划</x:v>
      </x:c>
      <x:c r="C51" s="20" t="str">
        <x:f>'Knowledge'!H51</x:f>
        <x:v>Benefits Management Plan</x:v>
      </x:c>
      <x:c r="D51" s="20" t="str">
        <x:f>'Knowledge'!E51</x:f>
        <x:v>🟠 高频 High Frequency</x:v>
      </x:c>
      <x:c r="E51" s="20" t="str">
        <x:f>'Knowledge'!K51</x:f>
        <x:v>Not Started 未学</x:v>
      </x:c>
      <x:c r="F51" s="23" t="str">
        <x:f>IF('Knowledge'!M51="","",'Knowledge'!M51)</x:f>
      </x:c>
      <x:c r="G51" s="20" t="str">
        <x:f>IF(F51="","",F51-TODAY())</x:f>
      </x:c>
      <x:c r="H51" s="20" t="str">
        <x:f>IF(F51="","",IF(E51="Mastered 已掌握","30-day recall",IF(G51&lt;=0,"Review today",IF(G51&lt;=3,"Upcoming","Scheduled"))))</x:f>
      </x:c>
    </x:row>
    <x:row r="52">
      <x:c r="A52" s="20" t="str">
        <x:f>'Knowledge'!A52</x:f>
        <x:v>KP-051</x:v>
      </x:c>
      <x:c r="B52" s="20" t="str">
        <x:f>'Knowledge'!G52</x:f>
        <x:v>项目管理计划</x:v>
      </x:c>
      <x:c r="C52" s="20" t="str">
        <x:f>'Knowledge'!H52</x:f>
        <x:v>Project Management Plan</x:v>
      </x:c>
      <x:c r="D52" s="20" t="str">
        <x:f>'Knowledge'!E52</x:f>
        <x:v>🔴 必考 Must Know</x:v>
      </x:c>
      <x:c r="E52" s="20" t="str">
        <x:f>'Knowledge'!K52</x:f>
        <x:v>Not Started 未学</x:v>
      </x:c>
      <x:c r="F52" s="23" t="str">
        <x:f>IF('Knowledge'!M52="","",'Knowledge'!M52)</x:f>
      </x:c>
      <x:c r="G52" s="20" t="str">
        <x:f>IF(F52="","",F52-TODAY())</x:f>
      </x:c>
      <x:c r="H52" s="20" t="str">
        <x:f>IF(F52="","",IF(E52="Mastered 已掌握","30-day recall",IF(G52&lt;=0,"Review today",IF(G52&lt;=3,"Upcoming","Scheduled"))))</x:f>
      </x:c>
    </x:row>
    <x:row r="53">
      <x:c r="A53" s="20" t="str">
        <x:f>'Knowledge'!A53</x:f>
        <x:v>KP-052</x:v>
      </x:c>
      <x:c r="B53" s="20" t="str">
        <x:f>'Knowledge'!G53</x:f>
        <x:v>交付方法选择</x:v>
      </x:c>
      <x:c r="C53" s="20" t="str">
        <x:f>'Knowledge'!H53</x:f>
        <x:v>Development Approach Selection</x:v>
      </x:c>
      <x:c r="D53" s="20" t="str">
        <x:f>'Knowledge'!E53</x:f>
        <x:v>🔴 必考 Must Know</x:v>
      </x:c>
      <x:c r="E53" s="20" t="str">
        <x:f>'Knowledge'!K53</x:f>
        <x:v>Not Started 未学</x:v>
      </x:c>
      <x:c r="F53" s="23" t="str">
        <x:f>IF('Knowledge'!M53="","",'Knowledge'!M53)</x:f>
      </x:c>
      <x:c r="G53" s="20" t="str">
        <x:f>IF(F53="","",F53-TODAY())</x:f>
      </x:c>
      <x:c r="H53" s="20" t="str">
        <x:f>IF(F53="","",IF(E53="Mastered 已掌握","30-day recall",IF(G53&lt;=0,"Review today",IF(G53&lt;=3,"Upcoming","Scheduled"))))</x:f>
      </x:c>
    </x:row>
    <x:row r="54">
      <x:c r="A54" s="20" t="str">
        <x:f>'Knowledge'!A54</x:f>
        <x:v>KP-053</x:v>
      </x:c>
      <x:c r="B54" s="20" t="str">
        <x:f>'Knowledge'!G54</x:f>
        <x:v>依赖与缺口评估</x:v>
      </x:c>
      <x:c r="C54" s="20" t="str">
        <x:f>'Knowledge'!H54</x:f>
        <x:v>Dependency and Gap Assessment</x:v>
      </x:c>
      <x:c r="D54" s="20" t="str">
        <x:f>'Knowledge'!E54</x:f>
        <x:v>🟠 高频 High Frequency</x:v>
      </x:c>
      <x:c r="E54" s="20" t="str">
        <x:f>'Knowledge'!K54</x:f>
        <x:v>Not Started 未学</x:v>
      </x:c>
      <x:c r="F54" s="23" t="str">
        <x:f>IF('Knowledge'!M54="","",'Knowledge'!M54)</x:f>
      </x:c>
      <x:c r="G54" s="20" t="str">
        <x:f>IF(F54="","",F54-TODAY())</x:f>
      </x:c>
      <x:c r="H54" s="20" t="str">
        <x:f>IF(F54="","",IF(E54="Mastered 已掌握","30-day recall",IF(G54&lt;=0,"Review today",IF(G54&lt;=3,"Upcoming","Scheduled"))))</x:f>
      </x:c>
    </x:row>
    <x:row r="55">
      <x:c r="A55" s="20" t="str">
        <x:f>'Knowledge'!A55</x:f>
        <x:v>KP-054</x:v>
      </x:c>
      <x:c r="B55" s="20" t="str">
        <x:f>'Knowledge'!G55</x:f>
        <x:v>数据驱动决策</x:v>
      </x:c>
      <x:c r="C55" s="20" t="str">
        <x:f>'Knowledge'!H55</x:f>
        <x:v>Data-informed Decision Making</x:v>
      </x:c>
      <x:c r="D55" s="20" t="str">
        <x:f>'Knowledge'!E55</x:f>
        <x:v>🟠 高频 High Frequency</x:v>
      </x:c>
      <x:c r="E55" s="20" t="str">
        <x:f>'Knowledge'!K55</x:f>
        <x:v>Not Started 未学</x:v>
      </x:c>
      <x:c r="F55" s="23" t="str">
        <x:f>IF('Knowledge'!M55="","",'Knowledge'!M55)</x:f>
      </x:c>
      <x:c r="G55" s="20" t="str">
        <x:f>IF(F55="","",F55-TODAY())</x:f>
      </x:c>
      <x:c r="H55" s="20" t="str">
        <x:f>IF(F55="","",IF(E55="Mastered 已掌握","30-day recall",IF(G55&lt;=0,"Review today",IF(G55&lt;=3,"Upcoming","Scheduled"))))</x:f>
      </x:c>
    </x:row>
    <x:row r="56">
      <x:c r="A56" s="20" t="str">
        <x:f>'Knowledge'!A56</x:f>
        <x:v>KP-055</x:v>
      </x:c>
      <x:c r="B56" s="20" t="str">
        <x:f>'Knowledge'!G56</x:f>
        <x:v>需求文件</x:v>
      </x:c>
      <x:c r="C56" s="20" t="str">
        <x:f>'Knowledge'!H56</x:f>
        <x:v>Requirements Documentation</x:v>
      </x:c>
      <x:c r="D56" s="20" t="str">
        <x:f>'Knowledge'!E56</x:f>
        <x:v>🟡 易错 Easy to Confuse</x:v>
      </x:c>
      <x:c r="E56" s="20" t="str">
        <x:f>'Knowledge'!K56</x:f>
        <x:v>Not Started 未学</x:v>
      </x:c>
      <x:c r="F56" s="23" t="str">
        <x:f>IF('Knowledge'!M56="","",'Knowledge'!M56)</x:f>
      </x:c>
      <x:c r="G56" s="20" t="str">
        <x:f>IF(F56="","",F56-TODAY())</x:f>
      </x:c>
      <x:c r="H56" s="20" t="str">
        <x:f>IF(F56="","",IF(E56="Mastered 已掌握","30-day recall",IF(G56&lt;=0,"Review today",IF(G56&lt;=3,"Upcoming","Scheduled"))))</x:f>
      </x:c>
    </x:row>
    <x:row r="57">
      <x:c r="A57" s="20" t="str">
        <x:f>'Knowledge'!A57</x:f>
        <x:v>KP-056</x:v>
      </x:c>
      <x:c r="B57" s="20" t="str">
        <x:f>'Knowledge'!G57</x:f>
        <x:v>需求跟踪矩阵</x:v>
      </x:c>
      <x:c r="C57" s="20" t="str">
        <x:f>'Knowledge'!H57</x:f>
        <x:v>Requirements Traceability Matrix</x:v>
      </x:c>
      <x:c r="D57" s="20" t="str">
        <x:f>'Knowledge'!E57</x:f>
        <x:v>🟠 高频 High Frequency</x:v>
      </x:c>
      <x:c r="E57" s="20" t="str">
        <x:f>'Knowledge'!K57</x:f>
        <x:v>Not Started 未学</x:v>
      </x:c>
      <x:c r="F57" s="23" t="str">
        <x:f>IF('Knowledge'!M57="","",'Knowledge'!M57)</x:f>
      </x:c>
      <x:c r="G57" s="20" t="str">
        <x:f>IF(F57="","",F57-TODAY())</x:f>
      </x:c>
      <x:c r="H57" s="20" t="str">
        <x:f>IF(F57="","",IF(E57="Mastered 已掌握","30-day recall",IF(G57&lt;=0,"Review today",IF(G57&lt;=3,"Upcoming","Scheduled"))))</x:f>
      </x:c>
    </x:row>
    <x:row r="58">
      <x:c r="A58" s="20" t="str">
        <x:f>'Knowledge'!A58</x:f>
        <x:v>KP-057</x:v>
      </x:c>
      <x:c r="B58" s="20" t="str">
        <x:f>'Knowledge'!G58</x:f>
        <x:v>项目范围说明书</x:v>
      </x:c>
      <x:c r="C58" s="20" t="str">
        <x:f>'Knowledge'!H58</x:f>
        <x:v>Project Scope Statement</x:v>
      </x:c>
      <x:c r="D58" s="20" t="str">
        <x:f>'Knowledge'!E58</x:f>
        <x:v>🟡 易错 Easy to Confuse</x:v>
      </x:c>
      <x:c r="E58" s="20" t="str">
        <x:f>'Knowledge'!K58</x:f>
        <x:v>Not Started 未学</x:v>
      </x:c>
      <x:c r="F58" s="23" t="str">
        <x:f>IF('Knowledge'!M58="","",'Knowledge'!M58)</x:f>
      </x:c>
      <x:c r="G58" s="20" t="str">
        <x:f>IF(F58="","",F58-TODAY())</x:f>
      </x:c>
      <x:c r="H58" s="20" t="str">
        <x:f>IF(F58="","",IF(E58="Mastered 已掌握","30-day recall",IF(G58&lt;=0,"Review today",IF(G58&lt;=3,"Upcoming","Scheduled"))))</x:f>
      </x:c>
    </x:row>
    <x:row r="59">
      <x:c r="A59" s="20" t="str">
        <x:f>'Knowledge'!A59</x:f>
        <x:v>KP-058</x:v>
      </x:c>
      <x:c r="B59" s="20" t="str">
        <x:f>'Knowledge'!G59</x:f>
        <x:v>工作分解结构</x:v>
      </x:c>
      <x:c r="C59" s="20" t="str">
        <x:f>'Knowledge'!H59</x:f>
        <x:v>Work Breakdown Structure (WBS)</x:v>
      </x:c>
      <x:c r="D59" s="20" t="str">
        <x:f>'Knowledge'!E59</x:f>
        <x:v>🔴 必考 Must Know</x:v>
      </x:c>
      <x:c r="E59" s="20" t="str">
        <x:f>'Knowledge'!K59</x:f>
        <x:v>Not Started 未学</x:v>
      </x:c>
      <x:c r="F59" s="23" t="str">
        <x:f>IF('Knowledge'!M59="","",'Knowledge'!M59)</x:f>
      </x:c>
      <x:c r="G59" s="20" t="str">
        <x:f>IF(F59="","",F59-TODAY())</x:f>
      </x:c>
      <x:c r="H59" s="20" t="str">
        <x:f>IF(F59="","",IF(E59="Mastered 已掌握","30-day recall",IF(G59&lt;=0,"Review today",IF(G59&lt;=3,"Upcoming","Scheduled"))))</x:f>
      </x:c>
    </x:row>
    <x:row r="60">
      <x:c r="A60" s="20" t="str">
        <x:f>'Knowledge'!A60</x:f>
        <x:v>KP-059</x:v>
      </x:c>
      <x:c r="B60" s="20" t="str">
        <x:f>'Knowledge'!G60</x:f>
        <x:v>工作包</x:v>
      </x:c>
      <x:c r="C60" s="20" t="str">
        <x:f>'Knowledge'!H60</x:f>
        <x:v>Work Package</x:v>
      </x:c>
      <x:c r="D60" s="20" t="str">
        <x:f>'Knowledge'!E60</x:f>
        <x:v>🟡 易错 Easy to Confuse</x:v>
      </x:c>
      <x:c r="E60" s="20" t="str">
        <x:f>'Knowledge'!K60</x:f>
        <x:v>Not Started 未学</x:v>
      </x:c>
      <x:c r="F60" s="23" t="str">
        <x:f>IF('Knowledge'!M60="","",'Knowledge'!M60)</x:f>
      </x:c>
      <x:c r="G60" s="20" t="str">
        <x:f>IF(F60="","",F60-TODAY())</x:f>
      </x:c>
      <x:c r="H60" s="20" t="str">
        <x:f>IF(F60="","",IF(E60="Mastered 已掌握","30-day recall",IF(G60&lt;=0,"Review today",IF(G60&lt;=3,"Upcoming","Scheduled"))))</x:f>
      </x:c>
    </x:row>
    <x:row r="61">
      <x:c r="A61" s="20" t="str">
        <x:f>'Knowledge'!A61</x:f>
        <x:v>KP-060</x:v>
      </x:c>
      <x:c r="B61" s="20" t="str">
        <x:f>'Knowledge'!G61</x:f>
        <x:v>范围基准</x:v>
      </x:c>
      <x:c r="C61" s="20" t="str">
        <x:f>'Knowledge'!H61</x:f>
        <x:v>Scope Baseline</x:v>
      </x:c>
      <x:c r="D61" s="20" t="str">
        <x:f>'Knowledge'!E61</x:f>
        <x:v>🔴 必考 Must Know</x:v>
      </x:c>
      <x:c r="E61" s="20" t="str">
        <x:f>'Knowledge'!K61</x:f>
        <x:v>Not Started 未学</x:v>
      </x:c>
      <x:c r="F61" s="23" t="str">
        <x:f>IF('Knowledge'!M61="","",'Knowledge'!M61)</x:f>
      </x:c>
      <x:c r="G61" s="20" t="str">
        <x:f>IF(F61="","",F61-TODAY())</x:f>
      </x:c>
      <x:c r="H61" s="20" t="str">
        <x:f>IF(F61="","",IF(E61="Mastered 已掌握","30-day recall",IF(G61&lt;=0,"Review today",IF(G61&lt;=3,"Upcoming","Scheduled"))))</x:f>
      </x:c>
    </x:row>
    <x:row r="62">
      <x:c r="A62" s="20" t="str">
        <x:f>'Knowledge'!A62</x:f>
        <x:v>KP-061</x:v>
      </x:c>
      <x:c r="B62" s="20" t="str">
        <x:f>'Knowledge'!G62</x:f>
        <x:v>确认范围</x:v>
      </x:c>
      <x:c r="C62" s="20" t="str">
        <x:f>'Knowledge'!H62</x:f>
        <x:v>Validate Scope</x:v>
      </x:c>
      <x:c r="D62" s="20" t="str">
        <x:f>'Knowledge'!E62</x:f>
        <x:v>🔴 必考 Must Know</x:v>
      </x:c>
      <x:c r="E62" s="20" t="str">
        <x:f>'Knowledge'!K62</x:f>
        <x:v>Not Started 未学</x:v>
      </x:c>
      <x:c r="F62" s="23" t="str">
        <x:f>IF('Knowledge'!M62="","",'Knowledge'!M62)</x:f>
      </x:c>
      <x:c r="G62" s="20" t="str">
        <x:f>IF(F62="","",F62-TODAY())</x:f>
      </x:c>
      <x:c r="H62" s="20" t="str">
        <x:f>IF(F62="","",IF(E62="Mastered 已掌握","30-day recall",IF(G62&lt;=0,"Review today",IF(G62&lt;=3,"Upcoming","Scheduled"))))</x:f>
      </x:c>
    </x:row>
    <x:row r="63">
      <x:c r="A63" s="20" t="str">
        <x:f>'Knowledge'!A63</x:f>
        <x:v>KP-062</x:v>
      </x:c>
      <x:c r="B63" s="20" t="str">
        <x:f>'Knowledge'!G63</x:f>
        <x:v>控制范围</x:v>
      </x:c>
      <x:c r="C63" s="20" t="str">
        <x:f>'Knowledge'!H63</x:f>
        <x:v>Control Scope</x:v>
      </x:c>
      <x:c r="D63" s="20" t="str">
        <x:f>'Knowledge'!E63</x:f>
        <x:v>🟡 易错 Easy to Confuse</x:v>
      </x:c>
      <x:c r="E63" s="20" t="str">
        <x:f>'Knowledge'!K63</x:f>
        <x:v>Not Started 未学</x:v>
      </x:c>
      <x:c r="F63" s="23" t="str">
        <x:f>IF('Knowledge'!M63="","",'Knowledge'!M63)</x:f>
      </x:c>
      <x:c r="G63" s="20" t="str">
        <x:f>IF(F63="","",F63-TODAY())</x:f>
      </x:c>
      <x:c r="H63" s="20" t="str">
        <x:f>IF(F63="","",IF(E63="Mastered 已掌握","30-day recall",IF(G63&lt;=0,"Review today",IF(G63&lt;=3,"Upcoming","Scheduled"))))</x:f>
      </x:c>
    </x:row>
    <x:row r="64">
      <x:c r="A64" s="20" t="str">
        <x:f>'Knowledge'!A64</x:f>
        <x:v>KP-063</x:v>
      </x:c>
      <x:c r="B64" s="20" t="str">
        <x:f>'Knowledge'!G64</x:f>
        <x:v>范围蔓延</x:v>
      </x:c>
      <x:c r="C64" s="20" t="str">
        <x:f>'Knowledge'!H64</x:f>
        <x:v>Scope Creep</x:v>
      </x:c>
      <x:c r="D64" s="20" t="str">
        <x:f>'Knowledge'!E64</x:f>
        <x:v>🟠 高频 High Frequency</x:v>
      </x:c>
      <x:c r="E64" s="20" t="str">
        <x:f>'Knowledge'!K64</x:f>
        <x:v>Not Started 未学</x:v>
      </x:c>
      <x:c r="F64" s="23" t="str">
        <x:f>IF('Knowledge'!M64="","",'Knowledge'!M64)</x:f>
      </x:c>
      <x:c r="G64" s="20" t="str">
        <x:f>IF(F64="","",F64-TODAY())</x:f>
      </x:c>
      <x:c r="H64" s="20" t="str">
        <x:f>IF(F64="","",IF(E64="Mastered 已掌握","30-day recall",IF(G64&lt;=0,"Review today",IF(G64&lt;=3,"Upcoming","Scheduled"))))</x:f>
      </x:c>
    </x:row>
    <x:row r="65">
      <x:c r="A65" s="20" t="str">
        <x:f>'Knowledge'!A65</x:f>
        <x:v>KP-064</x:v>
      </x:c>
      <x:c r="B65" s="20" t="str">
        <x:f>'Knowledge'!G65</x:f>
        <x:v>价值组件</x:v>
      </x:c>
      <x:c r="C65" s="20" t="str">
        <x:f>'Knowledge'!H65</x:f>
        <x:v>Value Components</x:v>
      </x:c>
      <x:c r="D65" s="20" t="str">
        <x:f>'Knowledge'!E65</x:f>
        <x:v>🔴 必考 Must Know</x:v>
      </x:c>
      <x:c r="E65" s="20" t="str">
        <x:f>'Knowledge'!K65</x:f>
        <x:v>Not Started 未学</x:v>
      </x:c>
      <x:c r="F65" s="23" t="str">
        <x:f>IF('Knowledge'!M65="","",'Knowledge'!M65)</x:f>
      </x:c>
      <x:c r="G65" s="20" t="str">
        <x:f>IF(F65="","",F65-TODAY())</x:f>
      </x:c>
      <x:c r="H65" s="20" t="str">
        <x:f>IF(F65="","",IF(E65="Mastered 已掌握","30-day recall",IF(G65&lt;=0,"Review today",IF(G65&lt;=3,"Upcoming","Scheduled"))))</x:f>
      </x:c>
    </x:row>
    <x:row r="66">
      <x:c r="A66" s="20" t="str">
        <x:f>'Knowledge'!A66</x:f>
        <x:v>KP-065</x:v>
      </x:c>
      <x:c r="B66" s="20" t="str">
        <x:f>'Knowledge'!G66</x:f>
        <x:v>基于价值排序</x:v>
      </x:c>
      <x:c r="C66" s="20" t="str">
        <x:f>'Knowledge'!H66</x:f>
        <x:v>Value-based Prioritization</x:v>
      </x:c>
      <x:c r="D66" s="20" t="str">
        <x:f>'Knowledge'!E66</x:f>
        <x:v>🔴 必考 Must Know</x:v>
      </x:c>
      <x:c r="E66" s="20" t="str">
        <x:f>'Knowledge'!K66</x:f>
        <x:v>Not Started 未学</x:v>
      </x:c>
      <x:c r="F66" s="23" t="str">
        <x:f>IF('Knowledge'!M66="","",'Knowledge'!M66)</x:f>
      </x:c>
      <x:c r="G66" s="20" t="str">
        <x:f>IF(F66="","",F66-TODAY())</x:f>
      </x:c>
      <x:c r="H66" s="20" t="str">
        <x:f>IF(F66="","",IF(E66="Mastered 已掌握","30-day recall",IF(G66&lt;=0,"Review today",IF(G66&lt;=3,"Upcoming","Scheduled"))))</x:f>
      </x:c>
    </x:row>
    <x:row r="67">
      <x:c r="A67" s="20" t="str">
        <x:f>'Knowledge'!A67</x:f>
        <x:v>KP-066</x:v>
      </x:c>
      <x:c r="B67" s="20" t="str">
        <x:f>'Knowledge'!G67</x:f>
        <x:v>增量交付</x:v>
      </x:c>
      <x:c r="C67" s="20" t="str">
        <x:f>'Knowledge'!H67</x:f>
        <x:v>Incremental Delivery</x:v>
      </x:c>
      <x:c r="D67" s="20" t="str">
        <x:f>'Knowledge'!E67</x:f>
        <x:v>🔴 必考 Must Know</x:v>
      </x:c>
      <x:c r="E67" s="20" t="str">
        <x:f>'Knowledge'!K67</x:f>
        <x:v>Not Started 未学</x:v>
      </x:c>
      <x:c r="F67" s="23" t="str">
        <x:f>IF('Knowledge'!M67="","",'Knowledge'!M67)</x:f>
      </x:c>
      <x:c r="G67" s="20" t="str">
        <x:f>IF(F67="","",F67-TODAY())</x:f>
      </x:c>
      <x:c r="H67" s="20" t="str">
        <x:f>IF(F67="","",IF(E67="Mastered 已掌握","30-day recall",IF(G67&lt;=0,"Review today",IF(G67&lt;=3,"Upcoming","Scheduled"))))</x:f>
      </x:c>
    </x:row>
    <x:row r="68">
      <x:c r="A68" s="20" t="str">
        <x:f>'Knowledge'!A68</x:f>
        <x:v>KP-067</x:v>
      </x:c>
      <x:c r="B68" s="20" t="str">
        <x:f>'Knowledge'!G68</x:f>
        <x:v>最小可行产品</x:v>
      </x:c>
      <x:c r="C68" s="20" t="str">
        <x:f>'Knowledge'!H68</x:f>
        <x:v>Minimum Viable Product (MVP)</x:v>
      </x:c>
      <x:c r="D68" s="20" t="str">
        <x:f>'Knowledge'!E68</x:f>
        <x:v>🟡 易错 Easy to Confuse</x:v>
      </x:c>
      <x:c r="E68" s="20" t="str">
        <x:f>'Knowledge'!K68</x:f>
        <x:v>Not Started 未学</x:v>
      </x:c>
      <x:c r="F68" s="23" t="str">
        <x:f>IF('Knowledge'!M68="","",'Knowledge'!M68)</x:f>
      </x:c>
      <x:c r="G68" s="20" t="str">
        <x:f>IF(F68="","",F68-TODAY())</x:f>
      </x:c>
      <x:c r="H68" s="20" t="str">
        <x:f>IF(F68="","",IF(E68="Mastered 已掌握","30-day recall",IF(G68&lt;=0,"Review today",IF(G68&lt;=3,"Upcoming","Scheduled"))))</x:f>
      </x:c>
    </x:row>
    <x:row r="69">
      <x:c r="A69" s="20" t="str">
        <x:f>'Knowledge'!A69</x:f>
        <x:v>KP-068</x:v>
      </x:c>
      <x:c r="B69" s="20" t="str">
        <x:f>'Knowledge'!G69</x:f>
        <x:v>收益测量系统</x:v>
      </x:c>
      <x:c r="C69" s="20" t="str">
        <x:f>'Knowledge'!H69</x:f>
        <x:v>Benefits Measurement System</x:v>
      </x:c>
      <x:c r="D69" s="20" t="str">
        <x:f>'Knowledge'!E69</x:f>
        <x:v>🟠 高频 High Frequency</x:v>
      </x:c>
      <x:c r="E69" s="20" t="str">
        <x:f>'Knowledge'!K69</x:f>
        <x:v>Not Started 未学</x:v>
      </x:c>
      <x:c r="F69" s="23" t="str">
        <x:f>IF('Knowledge'!M69="","",'Knowledge'!M69)</x:f>
      </x:c>
      <x:c r="G69" s="20" t="str">
        <x:f>IF(F69="","",F69-TODAY())</x:f>
      </x:c>
      <x:c r="H69" s="20" t="str">
        <x:f>IF(F69="","",IF(E69="Mastered 已掌握","30-day recall",IF(G69&lt;=0,"Review today",IF(G69&lt;=3,"Upcoming","Scheduled"))))</x:f>
      </x:c>
    </x:row>
    <x:row r="70">
      <x:c r="A70" s="20" t="str">
        <x:f>'Knowledge'!A70</x:f>
        <x:v>KP-069</x:v>
      </x:c>
      <x:c r="B70" s="20" t="str">
        <x:f>'Knowledge'!G70</x:f>
        <x:v>资源管理计划</x:v>
      </x:c>
      <x:c r="C70" s="20" t="str">
        <x:f>'Knowledge'!H70</x:f>
        <x:v>Resource Management Plan</x:v>
      </x:c>
      <x:c r="D70" s="20" t="str">
        <x:f>'Knowledge'!E70</x:f>
        <x:v>🟠 高频 High Frequency</x:v>
      </x:c>
      <x:c r="E70" s="20" t="str">
        <x:f>'Knowledge'!K70</x:f>
        <x:v>Not Started 未学</x:v>
      </x:c>
      <x:c r="F70" s="23" t="str">
        <x:f>IF('Knowledge'!M70="","",'Knowledge'!M70)</x:f>
      </x:c>
      <x:c r="G70" s="20" t="str">
        <x:f>IF(F70="","",F70-TODAY())</x:f>
      </x:c>
      <x:c r="H70" s="20" t="str">
        <x:f>IF(F70="","",IF(E70="Mastered 已掌握","30-day recall",IF(G70&lt;=0,"Review today",IF(G70&lt;=3,"Upcoming","Scheduled"))))</x:f>
      </x:c>
    </x:row>
    <x:row r="71">
      <x:c r="A71" s="20" t="str">
        <x:f>'Knowledge'!A71</x:f>
        <x:v>KP-070</x:v>
      </x:c>
      <x:c r="B71" s="20" t="str">
        <x:f>'Knowledge'!G71</x:f>
        <x:v>资源日历</x:v>
      </x:c>
      <x:c r="C71" s="20" t="str">
        <x:f>'Knowledge'!H71</x:f>
        <x:v>Resource Calendar</x:v>
      </x:c>
      <x:c r="D71" s="20" t="str">
        <x:f>'Knowledge'!E71</x:f>
        <x:v>🟠 高频 High Frequency</x:v>
      </x:c>
      <x:c r="E71" s="20" t="str">
        <x:f>'Knowledge'!K71</x:f>
        <x:v>Not Started 未学</x:v>
      </x:c>
      <x:c r="F71" s="23" t="str">
        <x:f>IF('Knowledge'!M71="","",'Knowledge'!M71)</x:f>
      </x:c>
      <x:c r="G71" s="20" t="str">
        <x:f>IF(F71="","",F71-TODAY())</x:f>
      </x:c>
      <x:c r="H71" s="20" t="str">
        <x:f>IF(F71="","",IF(E71="Mastered 已掌握","30-day recall",IF(G71&lt;=0,"Review today",IF(G71&lt;=3,"Upcoming","Scheduled"))))</x:f>
      </x:c>
    </x:row>
    <x:row r="72">
      <x:c r="A72" s="20" t="str">
        <x:f>'Knowledge'!A72</x:f>
        <x:v>KP-071</x:v>
      </x:c>
      <x:c r="B72" s="20" t="str">
        <x:f>'Knowledge'!G72</x:f>
        <x:v>资源平衡</x:v>
      </x:c>
      <x:c r="C72" s="20" t="str">
        <x:f>'Knowledge'!H72</x:f>
        <x:v>Resource Leveling</x:v>
      </x:c>
      <x:c r="D72" s="20" t="str">
        <x:f>'Knowledge'!E72</x:f>
        <x:v>🟡 易错 Easy to Confuse</x:v>
      </x:c>
      <x:c r="E72" s="20" t="str">
        <x:f>'Knowledge'!K72</x:f>
        <x:v>Not Started 未学</x:v>
      </x:c>
      <x:c r="F72" s="23" t="str">
        <x:f>IF('Knowledge'!M72="","",'Knowledge'!M72)</x:f>
      </x:c>
      <x:c r="G72" s="20" t="str">
        <x:f>IF(F72="","",F72-TODAY())</x:f>
      </x:c>
      <x:c r="H72" s="20" t="str">
        <x:f>IF(F72="","",IF(E72="Mastered 已掌握","30-day recall",IF(G72&lt;=0,"Review today",IF(G72&lt;=3,"Upcoming","Scheduled"))))</x:f>
      </x:c>
    </x:row>
    <x:row r="73">
      <x:c r="A73" s="20" t="str">
        <x:f>'Knowledge'!A73</x:f>
        <x:v>KP-072</x:v>
      </x:c>
      <x:c r="B73" s="20" t="str">
        <x:f>'Knowledge'!G73</x:f>
        <x:v>资源平滑</x:v>
      </x:c>
      <x:c r="C73" s="20" t="str">
        <x:f>'Knowledge'!H73</x:f>
        <x:v>Resource Smoothing</x:v>
      </x:c>
      <x:c r="D73" s="20" t="str">
        <x:f>'Knowledge'!E73</x:f>
        <x:v>🟡 易错 Easy to Confuse</x:v>
      </x:c>
      <x:c r="E73" s="20" t="str">
        <x:f>'Knowledge'!K73</x:f>
        <x:v>Not Started 未学</x:v>
      </x:c>
      <x:c r="F73" s="23" t="str">
        <x:f>IF('Knowledge'!M73="","",'Knowledge'!M73)</x:f>
      </x:c>
      <x:c r="G73" s="20" t="str">
        <x:f>IF(F73="","",F73-TODAY())</x:f>
      </x:c>
      <x:c r="H73" s="20" t="str">
        <x:f>IF(F73="","",IF(E73="Mastered 已掌握","30-day recall",IF(G73&lt;=0,"Review today",IF(G73&lt;=3,"Upcoming","Scheduled"))))</x:f>
      </x:c>
    </x:row>
    <x:row r="74">
      <x:c r="A74" s="20" t="str">
        <x:f>'Knowledge'!A74</x:f>
        <x:v>KP-073</x:v>
      </x:c>
      <x:c r="B74" s="20" t="str">
        <x:f>'Knowledge'!G74</x:f>
        <x:v>自制或外购</x:v>
      </x:c>
      <x:c r="C74" s="20" t="str">
        <x:f>'Knowledge'!H74</x:f>
        <x:v>Make-or-Buy Analysis</x:v>
      </x:c>
      <x:c r="D74" s="20" t="str">
        <x:f>'Knowledge'!E74</x:f>
        <x:v>🟠 高频 High Frequency</x:v>
      </x:c>
      <x:c r="E74" s="20" t="str">
        <x:f>'Knowledge'!K74</x:f>
        <x:v>Not Started 未学</x:v>
      </x:c>
      <x:c r="F74" s="23" t="str">
        <x:f>IF('Knowledge'!M74="","",'Knowledge'!M74)</x:f>
      </x:c>
      <x:c r="G74" s="20" t="str">
        <x:f>IF(F74="","",F74-TODAY())</x:f>
      </x:c>
      <x:c r="H74" s="20" t="str">
        <x:f>IF(F74="","",IF(E74="Mastered 已掌握","30-day recall",IF(G74&lt;=0,"Review today",IF(G74&lt;=3,"Upcoming","Scheduled"))))</x:f>
      </x:c>
    </x:row>
    <x:row r="75">
      <x:c r="A75" s="20" t="str">
        <x:f>'Knowledge'!A75</x:f>
        <x:v>KP-074</x:v>
      </x:c>
      <x:c r="B75" s="20" t="str">
        <x:f>'Knowledge'!G75</x:f>
        <x:v>固定总价合同</x:v>
      </x:c>
      <x:c r="C75" s="20" t="str">
        <x:f>'Knowledge'!H75</x:f>
        <x:v>Fixed-Price Contract</x:v>
      </x:c>
      <x:c r="D75" s="20" t="str">
        <x:f>'Knowledge'!E75</x:f>
        <x:v>🔴 必考 Must Know</x:v>
      </x:c>
      <x:c r="E75" s="20" t="str">
        <x:f>'Knowledge'!K75</x:f>
        <x:v>Not Started 未学</x:v>
      </x:c>
      <x:c r="F75" s="23" t="str">
        <x:f>IF('Knowledge'!M75="","",'Knowledge'!M75)</x:f>
      </x:c>
      <x:c r="G75" s="20" t="str">
        <x:f>IF(F75="","",F75-TODAY())</x:f>
      </x:c>
      <x:c r="H75" s="20" t="str">
        <x:f>IF(F75="","",IF(E75="Mastered 已掌握","30-day recall",IF(G75&lt;=0,"Review today",IF(G75&lt;=3,"Upcoming","Scheduled"))))</x:f>
      </x:c>
    </x:row>
    <x:row r="76">
      <x:c r="A76" s="20" t="str">
        <x:f>'Knowledge'!A76</x:f>
        <x:v>KP-075</x:v>
      </x:c>
      <x:c r="B76" s="20" t="str">
        <x:f>'Knowledge'!G76</x:f>
        <x:v>成本补偿合同</x:v>
      </x:c>
      <x:c r="C76" s="20" t="str">
        <x:f>'Knowledge'!H76</x:f>
        <x:v>Cost-Reimbursable Contract</x:v>
      </x:c>
      <x:c r="D76" s="20" t="str">
        <x:f>'Knowledge'!E76</x:f>
        <x:v>🔴 必考 Must Know</x:v>
      </x:c>
      <x:c r="E76" s="20" t="str">
        <x:f>'Knowledge'!K76</x:f>
        <x:v>Not Started 未学</x:v>
      </x:c>
      <x:c r="F76" s="23" t="str">
        <x:f>IF('Knowledge'!M76="","",'Knowledge'!M76)</x:f>
      </x:c>
      <x:c r="G76" s="20" t="str">
        <x:f>IF(F76="","",F76-TODAY())</x:f>
      </x:c>
      <x:c r="H76" s="20" t="str">
        <x:f>IF(F76="","",IF(E76="Mastered 已掌握","30-day recall",IF(G76&lt;=0,"Review today",IF(G76&lt;=3,"Upcoming","Scheduled"))))</x:f>
      </x:c>
    </x:row>
    <x:row r="77">
      <x:c r="A77" s="20" t="str">
        <x:f>'Knowledge'!A77</x:f>
        <x:v>KP-076</x:v>
      </x:c>
      <x:c r="B77" s="20" t="str">
        <x:f>'Knowledge'!G77</x:f>
        <x:v>工料合同</x:v>
      </x:c>
      <x:c r="C77" s="20" t="str">
        <x:f>'Knowledge'!H77</x:f>
        <x:v>Time and Materials Contract</x:v>
      </x:c>
      <x:c r="D77" s="20" t="str">
        <x:f>'Knowledge'!E77</x:f>
        <x:v>🟡 易错 Easy to Confuse</x:v>
      </x:c>
      <x:c r="E77" s="20" t="str">
        <x:f>'Knowledge'!K77</x:f>
        <x:v>Not Started 未学</x:v>
      </x:c>
      <x:c r="F77" s="23" t="str">
        <x:f>IF('Knowledge'!M77="","",'Knowledge'!M77)</x:f>
      </x:c>
      <x:c r="G77" s="20" t="str">
        <x:f>IF(F77="","",F77-TODAY())</x:f>
      </x:c>
      <x:c r="H77" s="20" t="str">
        <x:f>IF(F77="","",IF(E77="Mastered 已掌握","30-day recall",IF(G77&lt;=0,"Review today",IF(G77&lt;=3,"Upcoming","Scheduled"))))</x:f>
      </x:c>
    </x:row>
    <x:row r="78">
      <x:c r="A78" s="20" t="str">
        <x:f>'Knowledge'!A78</x:f>
        <x:v>KP-077</x:v>
      </x:c>
      <x:c r="B78" s="20" t="str">
        <x:f>'Knowledge'!G78</x:f>
        <x:v>采购谈判</x:v>
      </x:c>
      <x:c r="C78" s="20" t="str">
        <x:f>'Knowledge'!H78</x:f>
        <x:v>Procurement Negotiation</x:v>
      </x:c>
      <x:c r="D78" s="20" t="str">
        <x:f>'Knowledge'!E78</x:f>
        <x:v>🟠 高频 High Frequency</x:v>
      </x:c>
      <x:c r="E78" s="20" t="str">
        <x:f>'Knowledge'!K78</x:f>
        <x:v>Not Started 未学</x:v>
      </x:c>
      <x:c r="F78" s="23" t="str">
        <x:f>IF('Knowledge'!M78="","",'Knowledge'!M78)</x:f>
      </x:c>
      <x:c r="G78" s="20" t="str">
        <x:f>IF(F78="","",F78-TODAY())</x:f>
      </x:c>
      <x:c r="H78" s="20" t="str">
        <x:f>IF(F78="","",IF(E78="Mastered 已掌握","30-day recall",IF(G78&lt;=0,"Review today",IF(G78&lt;=3,"Upcoming","Scheduled"))))</x:f>
      </x:c>
    </x:row>
    <x:row r="79">
      <x:c r="A79" s="20" t="str">
        <x:f>'Knowledge'!A79</x:f>
        <x:v>KP-078</x:v>
      </x:c>
      <x:c r="B79" s="20" t="str">
        <x:f>'Knowledge'!G79</x:f>
        <x:v>供应商绩效</x:v>
      </x:c>
      <x:c r="C79" s="20" t="str">
        <x:f>'Knowledge'!H79</x:f>
        <x:v>Vendor Performance</x:v>
      </x:c>
      <x:c r="D79" s="20" t="str">
        <x:f>'Knowledge'!E79</x:f>
        <x:v>🟠 高频 High Frequency</x:v>
      </x:c>
      <x:c r="E79" s="20" t="str">
        <x:f>'Knowledge'!K79</x:f>
        <x:v>Not Started 未学</x:v>
      </x:c>
      <x:c r="F79" s="23" t="str">
        <x:f>IF('Knowledge'!M79="","",'Knowledge'!M79)</x:f>
      </x:c>
      <x:c r="G79" s="20" t="str">
        <x:f>IF(F79="","",F79-TODAY())</x:f>
      </x:c>
      <x:c r="H79" s="20" t="str">
        <x:f>IF(F79="","",IF(E79="Mastered 已掌握","30-day recall",IF(G79&lt;=0,"Review today",IF(G79&lt;=3,"Upcoming","Scheduled"))))</x:f>
      </x:c>
    </x:row>
    <x:row r="80">
      <x:c r="A80" s="20" t="str">
        <x:f>'Knowledge'!A80</x:f>
        <x:v>KP-079</x:v>
      </x:c>
      <x:c r="B80" s="20" t="str">
        <x:f>'Knowledge'!G80</x:f>
        <x:v>项目财务需求</x:v>
      </x:c>
      <x:c r="C80" s="20" t="str">
        <x:f>'Knowledge'!H80</x:f>
        <x:v>Project Financial Needs</x:v>
      </x:c>
      <x:c r="D80" s="20" t="str">
        <x:f>'Knowledge'!E80</x:f>
        <x:v>🟠 高频 High Frequency</x:v>
      </x:c>
      <x:c r="E80" s="20" t="str">
        <x:f>'Knowledge'!K80</x:f>
        <x:v>Not Started 未学</x:v>
      </x:c>
      <x:c r="F80" s="23" t="str">
        <x:f>IF('Knowledge'!M80="","",'Knowledge'!M80)</x:f>
      </x:c>
      <x:c r="G80" s="20" t="str">
        <x:f>IF(F80="","",F80-TODAY())</x:f>
      </x:c>
      <x:c r="H80" s="20" t="str">
        <x:f>IF(F80="","",IF(E80="Mastered 已掌握","30-day recall",IF(G80&lt;=0,"Review today",IF(G80&lt;=3,"Upcoming","Scheduled"))))</x:f>
      </x:c>
    </x:row>
    <x:row r="81">
      <x:c r="A81" s="20" t="str">
        <x:f>'Knowledge'!A81</x:f>
        <x:v>KP-080</x:v>
      </x:c>
      <x:c r="B81" s="20" t="str">
        <x:f>'Knowledge'!G81</x:f>
        <x:v>成本基准</x:v>
      </x:c>
      <x:c r="C81" s="20" t="str">
        <x:f>'Knowledge'!H81</x:f>
        <x:v>Cost Baseline</x:v>
      </x:c>
      <x:c r="D81" s="20" t="str">
        <x:f>'Knowledge'!E81</x:f>
        <x:v>🟡 易错 Easy to Confuse</x:v>
      </x:c>
      <x:c r="E81" s="20" t="str">
        <x:f>'Knowledge'!K81</x:f>
        <x:v>Not Started 未学</x:v>
      </x:c>
      <x:c r="F81" s="23" t="str">
        <x:f>IF('Knowledge'!M81="","",'Knowledge'!M81)</x:f>
      </x:c>
      <x:c r="G81" s="20" t="str">
        <x:f>IF(F81="","",F81-TODAY())</x:f>
      </x:c>
      <x:c r="H81" s="20" t="str">
        <x:f>IF(F81="","",IF(E81="Mastered 已掌握","30-day recall",IF(G81&lt;=0,"Review today",IF(G81&lt;=3,"Upcoming","Scheduled"))))</x:f>
      </x:c>
    </x:row>
    <x:row r="82">
      <x:c r="A82" s="20" t="str">
        <x:f>'Knowledge'!A82</x:f>
        <x:v>KP-081</x:v>
      </x:c>
      <x:c r="B82" s="20" t="str">
        <x:f>'Knowledge'!G82</x:f>
        <x:v>应急储备</x:v>
      </x:c>
      <x:c r="C82" s="20" t="str">
        <x:f>'Knowledge'!H82</x:f>
        <x:v>Contingency Reserve</x:v>
      </x:c>
      <x:c r="D82" s="20" t="str">
        <x:f>'Knowledge'!E82</x:f>
        <x:v>🔴 必考 Must Know</x:v>
      </x:c>
      <x:c r="E82" s="20" t="str">
        <x:f>'Knowledge'!K82</x:f>
        <x:v>Not Started 未学</x:v>
      </x:c>
      <x:c r="F82" s="23" t="str">
        <x:f>IF('Knowledge'!M82="","",'Knowledge'!M82)</x:f>
      </x:c>
      <x:c r="G82" s="20" t="str">
        <x:f>IF(F82="","",F82-TODAY())</x:f>
      </x:c>
      <x:c r="H82" s="20" t="str">
        <x:f>IF(F82="","",IF(E82="Mastered 已掌握","30-day recall",IF(G82&lt;=0,"Review today",IF(G82&lt;=3,"Upcoming","Scheduled"))))</x:f>
      </x:c>
    </x:row>
    <x:row r="83">
      <x:c r="A83" s="20" t="str">
        <x:f>'Knowledge'!A83</x:f>
        <x:v>KP-082</x:v>
      </x:c>
      <x:c r="B83" s="20" t="str">
        <x:f>'Knowledge'!G83</x:f>
        <x:v>管理储备</x:v>
      </x:c>
      <x:c r="C83" s="20" t="str">
        <x:f>'Knowledge'!H83</x:f>
        <x:v>Management Reserve</x:v>
      </x:c>
      <x:c r="D83" s="20" t="str">
        <x:f>'Knowledge'!E83</x:f>
        <x:v>🔴 必考 Must Know</x:v>
      </x:c>
      <x:c r="E83" s="20" t="str">
        <x:f>'Knowledge'!K83</x:f>
        <x:v>Not Started 未学</x:v>
      </x:c>
      <x:c r="F83" s="23" t="str">
        <x:f>IF('Knowledge'!M83="","",'Knowledge'!M83)</x:f>
      </x:c>
      <x:c r="G83" s="20" t="str">
        <x:f>IF(F83="","",F83-TODAY())</x:f>
      </x:c>
      <x:c r="H83" s="20" t="str">
        <x:f>IF(F83="","",IF(E83="Mastered 已掌握","30-day recall",IF(G83&lt;=0,"Review today",IF(G83&lt;=3,"Upcoming","Scheduled"))))</x:f>
      </x:c>
    </x:row>
    <x:row r="84">
      <x:c r="A84" s="20" t="str">
        <x:f>'Knowledge'!A84</x:f>
        <x:v>KP-083</x:v>
      </x:c>
      <x:c r="B84" s="20" t="str">
        <x:f>'Knowledge'!G84</x:f>
        <x:v>计划价值</x:v>
      </x:c>
      <x:c r="C84" s="20" t="str">
        <x:f>'Knowledge'!H84</x:f>
        <x:v>Planned Value (PV)</x:v>
      </x:c>
      <x:c r="D84" s="20" t="str">
        <x:f>'Knowledge'!E84</x:f>
        <x:v>🟡 易错 Easy to Confuse</x:v>
      </x:c>
      <x:c r="E84" s="20" t="str">
        <x:f>'Knowledge'!K84</x:f>
        <x:v>Not Started 未学</x:v>
      </x:c>
      <x:c r="F84" s="23" t="str">
        <x:f>IF('Knowledge'!M84="","",'Knowledge'!M84)</x:f>
      </x:c>
      <x:c r="G84" s="20" t="str">
        <x:f>IF(F84="","",F84-TODAY())</x:f>
      </x:c>
      <x:c r="H84" s="20" t="str">
        <x:f>IF(F84="","",IF(E84="Mastered 已掌握","30-day recall",IF(G84&lt;=0,"Review today",IF(G84&lt;=3,"Upcoming","Scheduled"))))</x:f>
      </x:c>
    </x:row>
    <x:row r="85">
      <x:c r="A85" s="20" t="str">
        <x:f>'Knowledge'!A85</x:f>
        <x:v>KP-084</x:v>
      </x:c>
      <x:c r="B85" s="20" t="str">
        <x:f>'Knowledge'!G85</x:f>
        <x:v>挣值</x:v>
      </x:c>
      <x:c r="C85" s="20" t="str">
        <x:f>'Knowledge'!H85</x:f>
        <x:v>Earned Value (EV)</x:v>
      </x:c>
      <x:c r="D85" s="20" t="str">
        <x:f>'Knowledge'!E85</x:f>
        <x:v>🟡 易错 Easy to Confuse</x:v>
      </x:c>
      <x:c r="E85" s="20" t="str">
        <x:f>'Knowledge'!K85</x:f>
        <x:v>Not Started 未学</x:v>
      </x:c>
      <x:c r="F85" s="23" t="str">
        <x:f>IF('Knowledge'!M85="","",'Knowledge'!M85)</x:f>
      </x:c>
      <x:c r="G85" s="20" t="str">
        <x:f>IF(F85="","",F85-TODAY())</x:f>
      </x:c>
      <x:c r="H85" s="20" t="str">
        <x:f>IF(F85="","",IF(E85="Mastered 已掌握","30-day recall",IF(G85&lt;=0,"Review today",IF(G85&lt;=3,"Upcoming","Scheduled"))))</x:f>
      </x:c>
    </x:row>
    <x:row r="86">
      <x:c r="A86" s="20" t="str">
        <x:f>'Knowledge'!A86</x:f>
        <x:v>KP-085</x:v>
      </x:c>
      <x:c r="B86" s="20" t="str">
        <x:f>'Knowledge'!G86</x:f>
        <x:v>实际成本</x:v>
      </x:c>
      <x:c r="C86" s="20" t="str">
        <x:f>'Knowledge'!H86</x:f>
        <x:v>Actual Cost (AC)</x:v>
      </x:c>
      <x:c r="D86" s="20" t="str">
        <x:f>'Knowledge'!E86</x:f>
        <x:v>🟡 易错 Easy to Confuse</x:v>
      </x:c>
      <x:c r="E86" s="20" t="str">
        <x:f>'Knowledge'!K86</x:f>
        <x:v>Not Started 未学</x:v>
      </x:c>
      <x:c r="F86" s="23" t="str">
        <x:f>IF('Knowledge'!M86="","",'Knowledge'!M86)</x:f>
      </x:c>
      <x:c r="G86" s="20" t="str">
        <x:f>IF(F86="","",F86-TODAY())</x:f>
      </x:c>
      <x:c r="H86" s="20" t="str">
        <x:f>IF(F86="","",IF(E86="Mastered 已掌握","30-day recall",IF(G86&lt;=0,"Review today",IF(G86&lt;=3,"Upcoming","Scheduled"))))</x:f>
      </x:c>
    </x:row>
    <x:row r="87">
      <x:c r="A87" s="20" t="str">
        <x:f>'Knowledge'!A87</x:f>
        <x:v>KP-086</x:v>
      </x:c>
      <x:c r="B87" s="20" t="str">
        <x:f>'Knowledge'!G87</x:f>
        <x:v>成本偏差</x:v>
      </x:c>
      <x:c r="C87" s="20" t="str">
        <x:f>'Knowledge'!H87</x:f>
        <x:v>Cost Variance (CV)</x:v>
      </x:c>
      <x:c r="D87" s="20" t="str">
        <x:f>'Knowledge'!E87</x:f>
        <x:v>🔴 必考 Must Know</x:v>
      </x:c>
      <x:c r="E87" s="20" t="str">
        <x:f>'Knowledge'!K87</x:f>
        <x:v>Not Started 未学</x:v>
      </x:c>
      <x:c r="F87" s="23" t="str">
        <x:f>IF('Knowledge'!M87="","",'Knowledge'!M87)</x:f>
      </x:c>
      <x:c r="G87" s="20" t="str">
        <x:f>IF(F87="","",F87-TODAY())</x:f>
      </x:c>
      <x:c r="H87" s="20" t="str">
        <x:f>IF(F87="","",IF(E87="Mastered 已掌握","30-day recall",IF(G87&lt;=0,"Review today",IF(G87&lt;=3,"Upcoming","Scheduled"))))</x:f>
      </x:c>
    </x:row>
    <x:row r="88">
      <x:c r="A88" s="20" t="str">
        <x:f>'Knowledge'!A88</x:f>
        <x:v>KP-087</x:v>
      </x:c>
      <x:c r="B88" s="20" t="str">
        <x:f>'Knowledge'!G88</x:f>
        <x:v>进度偏差</x:v>
      </x:c>
      <x:c r="C88" s="20" t="str">
        <x:f>'Knowledge'!H88</x:f>
        <x:v>Schedule Variance (SV)</x:v>
      </x:c>
      <x:c r="D88" s="20" t="str">
        <x:f>'Knowledge'!E88</x:f>
        <x:v>🔴 必考 Must Know</x:v>
      </x:c>
      <x:c r="E88" s="20" t="str">
        <x:f>'Knowledge'!K88</x:f>
        <x:v>Not Started 未学</x:v>
      </x:c>
      <x:c r="F88" s="23" t="str">
        <x:f>IF('Knowledge'!M88="","",'Knowledge'!M88)</x:f>
      </x:c>
      <x:c r="G88" s="20" t="str">
        <x:f>IF(F88="","",F88-TODAY())</x:f>
      </x:c>
      <x:c r="H88" s="20" t="str">
        <x:f>IF(F88="","",IF(E88="Mastered 已掌握","30-day recall",IF(G88&lt;=0,"Review today",IF(G88&lt;=3,"Upcoming","Scheduled"))))</x:f>
      </x:c>
    </x:row>
    <x:row r="89">
      <x:c r="A89" s="20" t="str">
        <x:f>'Knowledge'!A89</x:f>
        <x:v>KP-088</x:v>
      </x:c>
      <x:c r="B89" s="20" t="str">
        <x:f>'Knowledge'!G89</x:f>
        <x:v>成本绩效指数</x:v>
      </x:c>
      <x:c r="C89" s="20" t="str">
        <x:f>'Knowledge'!H89</x:f>
        <x:v>Cost Performance Index (CPI)</x:v>
      </x:c>
      <x:c r="D89" s="20" t="str">
        <x:f>'Knowledge'!E89</x:f>
        <x:v>🔴 必考 Must Know</x:v>
      </x:c>
      <x:c r="E89" s="20" t="str">
        <x:f>'Knowledge'!K89</x:f>
        <x:v>Not Started 未学</x:v>
      </x:c>
      <x:c r="F89" s="23" t="str">
        <x:f>IF('Knowledge'!M89="","",'Knowledge'!M89)</x:f>
      </x:c>
      <x:c r="G89" s="20" t="str">
        <x:f>IF(F89="","",F89-TODAY())</x:f>
      </x:c>
      <x:c r="H89" s="20" t="str">
        <x:f>IF(F89="","",IF(E89="Mastered 已掌握","30-day recall",IF(G89&lt;=0,"Review today",IF(G89&lt;=3,"Upcoming","Scheduled"))))</x:f>
      </x:c>
    </x:row>
    <x:row r="90">
      <x:c r="A90" s="20" t="str">
        <x:f>'Knowledge'!A90</x:f>
        <x:v>KP-089</x:v>
      </x:c>
      <x:c r="B90" s="20" t="str">
        <x:f>'Knowledge'!G90</x:f>
        <x:v>进度绩效指数</x:v>
      </x:c>
      <x:c r="C90" s="20" t="str">
        <x:f>'Knowledge'!H90</x:f>
        <x:v>Schedule Performance Index (SPI)</x:v>
      </x:c>
      <x:c r="D90" s="20" t="str">
        <x:f>'Knowledge'!E90</x:f>
        <x:v>🔴 必考 Must Know</x:v>
      </x:c>
      <x:c r="E90" s="20" t="str">
        <x:f>'Knowledge'!K90</x:f>
        <x:v>Not Started 未学</x:v>
      </x:c>
      <x:c r="F90" s="23" t="str">
        <x:f>IF('Knowledge'!M90="","",'Knowledge'!M90)</x:f>
      </x:c>
      <x:c r="G90" s="20" t="str">
        <x:f>IF(F90="","",F90-TODAY())</x:f>
      </x:c>
      <x:c r="H90" s="20" t="str">
        <x:f>IF(F90="","",IF(E90="Mastered 已掌握","30-day recall",IF(G90&lt;=0,"Review today",IF(G90&lt;=3,"Upcoming","Scheduled"))))</x:f>
      </x:c>
    </x:row>
    <x:row r="91">
      <x:c r="A91" s="20" t="str">
        <x:f>'Knowledge'!A91</x:f>
        <x:v>KP-090</x:v>
      </x:c>
      <x:c r="B91" s="20" t="str">
        <x:f>'Knowledge'!G91</x:f>
        <x:v>完工估算</x:v>
      </x:c>
      <x:c r="C91" s="20" t="str">
        <x:f>'Knowledge'!H91</x:f>
        <x:v>Estimate at Completion (EAC)</x:v>
      </x:c>
      <x:c r="D91" s="20" t="str">
        <x:f>'Knowledge'!E91</x:f>
        <x:v>🟡 易错 Easy to Confuse</x:v>
      </x:c>
      <x:c r="E91" s="20" t="str">
        <x:f>'Knowledge'!K91</x:f>
        <x:v>Not Started 未学</x:v>
      </x:c>
      <x:c r="F91" s="23" t="str">
        <x:f>IF('Knowledge'!M91="","",'Knowledge'!M91)</x:f>
      </x:c>
      <x:c r="G91" s="20" t="str">
        <x:f>IF(F91="","",F91-TODAY())</x:f>
      </x:c>
      <x:c r="H91" s="20" t="str">
        <x:f>IF(F91="","",IF(E91="Mastered 已掌握","30-day recall",IF(G91&lt;=0,"Review today",IF(G91&lt;=3,"Upcoming","Scheduled"))))</x:f>
      </x:c>
    </x:row>
    <x:row r="92">
      <x:c r="A92" s="20" t="str">
        <x:f>'Knowledge'!A92</x:f>
        <x:v>KP-091</x:v>
      </x:c>
      <x:c r="B92" s="20" t="str">
        <x:f>'Knowledge'!G92</x:f>
        <x:v>完工尚需绩效指数</x:v>
      </x:c>
      <x:c r="C92" s="20" t="str">
        <x:f>'Knowledge'!H92</x:f>
        <x:v>To-Complete Performance Index (TCPI)</x:v>
      </x:c>
      <x:c r="D92" s="20" t="str">
        <x:f>'Knowledge'!E92</x:f>
        <x:v>🟡 易错 Easy to Confuse</x:v>
      </x:c>
      <x:c r="E92" s="20" t="str">
        <x:f>'Knowledge'!K92</x:f>
        <x:v>Not Started 未学</x:v>
      </x:c>
      <x:c r="F92" s="23" t="str">
        <x:f>IF('Knowledge'!M92="","",'Knowledge'!M92)</x:f>
      </x:c>
      <x:c r="G92" s="20" t="str">
        <x:f>IF(F92="","",F92-TODAY())</x:f>
      </x:c>
      <x:c r="H92" s="20" t="str">
        <x:f>IF(F92="","",IF(E92="Mastered 已掌握","30-day recall",IF(G92&lt;=0,"Review today",IF(G92&lt;=3,"Upcoming","Scheduled"))))</x:f>
      </x:c>
    </x:row>
    <x:row r="93">
      <x:c r="A93" s="20" t="str">
        <x:f>'Knowledge'!A93</x:f>
        <x:v>KP-092</x:v>
      </x:c>
      <x:c r="B93" s="20" t="str">
        <x:f>'Knowledge'!G93</x:f>
        <x:v>质量管理计划</x:v>
      </x:c>
      <x:c r="C93" s="20" t="str">
        <x:f>'Knowledge'!H93</x:f>
        <x:v>Quality Management Plan</x:v>
      </x:c>
      <x:c r="D93" s="20" t="str">
        <x:f>'Knowledge'!E93</x:f>
        <x:v>🟠 高频 High Frequency</x:v>
      </x:c>
      <x:c r="E93" s="20" t="str">
        <x:f>'Knowledge'!K93</x:f>
        <x:v>Not Started 未学</x:v>
      </x:c>
      <x:c r="F93" s="23" t="str">
        <x:f>IF('Knowledge'!M93="","",'Knowledge'!M93)</x:f>
      </x:c>
      <x:c r="G93" s="20" t="str">
        <x:f>IF(F93="","",F93-TODAY())</x:f>
      </x:c>
      <x:c r="H93" s="20" t="str">
        <x:f>IF(F93="","",IF(E93="Mastered 已掌握","30-day recall",IF(G93&lt;=0,"Review today",IF(G93&lt;=3,"Upcoming","Scheduled"))))</x:f>
      </x:c>
    </x:row>
    <x:row r="94">
      <x:c r="A94" s="20" t="str">
        <x:f>'Knowledge'!A94</x:f>
        <x:v>KP-093</x:v>
      </x:c>
      <x:c r="B94" s="20" t="str">
        <x:f>'Knowledge'!G94</x:f>
        <x:v>预防优于检查</x:v>
      </x:c>
      <x:c r="C94" s="20" t="str">
        <x:f>'Knowledge'!H94</x:f>
        <x:v>Prevention over Inspection</x:v>
      </x:c>
      <x:c r="D94" s="20" t="str">
        <x:f>'Knowledge'!E94</x:f>
        <x:v>🟠 高频 High Frequency</x:v>
      </x:c>
      <x:c r="E94" s="20" t="str">
        <x:f>'Knowledge'!K94</x:f>
        <x:v>Not Started 未学</x:v>
      </x:c>
      <x:c r="F94" s="23" t="str">
        <x:f>IF('Knowledge'!M94="","",'Knowledge'!M94)</x:f>
      </x:c>
      <x:c r="G94" s="20" t="str">
        <x:f>IF(F94="","",F94-TODAY())</x:f>
      </x:c>
      <x:c r="H94" s="20" t="str">
        <x:f>IF(F94="","",IF(E94="Mastered 已掌握","30-day recall",IF(G94&lt;=0,"Review today",IF(G94&lt;=3,"Upcoming","Scheduled"))))</x:f>
      </x:c>
    </x:row>
    <x:row r="95">
      <x:c r="A95" s="20" t="str">
        <x:f>'Knowledge'!A95</x:f>
        <x:v>KP-094</x:v>
      </x:c>
      <x:c r="B95" s="20" t="str">
        <x:f>'Knowledge'!G95</x:f>
        <x:v>一致成本</x:v>
      </x:c>
      <x:c r="C95" s="20" t="str">
        <x:f>'Knowledge'!H95</x:f>
        <x:v>Cost of Conformance</x:v>
      </x:c>
      <x:c r="D95" s="20" t="str">
        <x:f>'Knowledge'!E95</x:f>
        <x:v>🟡 易错 Easy to Confuse</x:v>
      </x:c>
      <x:c r="E95" s="20" t="str">
        <x:f>'Knowledge'!K95</x:f>
        <x:v>Not Started 未学</x:v>
      </x:c>
      <x:c r="F95" s="23" t="str">
        <x:f>IF('Knowledge'!M95="","",'Knowledge'!M95)</x:f>
      </x:c>
      <x:c r="G95" s="20" t="str">
        <x:f>IF(F95="","",F95-TODAY())</x:f>
      </x:c>
      <x:c r="H95" s="20" t="str">
        <x:f>IF(F95="","",IF(E95="Mastered 已掌握","30-day recall",IF(G95&lt;=0,"Review today",IF(G95&lt;=3,"Upcoming","Scheduled"))))</x:f>
      </x:c>
    </x:row>
    <x:row r="96">
      <x:c r="A96" s="20" t="str">
        <x:f>'Knowledge'!A96</x:f>
        <x:v>KP-095</x:v>
      </x:c>
      <x:c r="B96" s="20" t="str">
        <x:f>'Knowledge'!G96</x:f>
        <x:v>非一致成本</x:v>
      </x:c>
      <x:c r="C96" s="20" t="str">
        <x:f>'Knowledge'!H96</x:f>
        <x:v>Cost of Nonconformance</x:v>
      </x:c>
      <x:c r="D96" s="20" t="str">
        <x:f>'Knowledge'!E96</x:f>
        <x:v>🟡 易错 Easy to Confuse</x:v>
      </x:c>
      <x:c r="E96" s="20" t="str">
        <x:f>'Knowledge'!K96</x:f>
        <x:v>Not Started 未学</x:v>
      </x:c>
      <x:c r="F96" s="23" t="str">
        <x:f>IF('Knowledge'!M96="","",'Knowledge'!M96)</x:f>
      </x:c>
      <x:c r="G96" s="20" t="str">
        <x:f>IF(F96="","",F96-TODAY())</x:f>
      </x:c>
      <x:c r="H96" s="20" t="str">
        <x:f>IF(F96="","",IF(E96="Mastered 已掌握","30-day recall",IF(G96&lt;=0,"Review today",IF(G96&lt;=3,"Upcoming","Scheduled"))))</x:f>
      </x:c>
    </x:row>
    <x:row r="97">
      <x:c r="A97" s="20" t="str">
        <x:f>'Knowledge'!A97</x:f>
        <x:v>KP-096</x:v>
      </x:c>
      <x:c r="B97" s="20" t="str">
        <x:f>'Knowledge'!G97</x:f>
        <x:v>控制质量</x:v>
      </x:c>
      <x:c r="C97" s="20" t="str">
        <x:f>'Knowledge'!H97</x:f>
        <x:v>Control Quality</x:v>
      </x:c>
      <x:c r="D97" s="20" t="str">
        <x:f>'Knowledge'!E97</x:f>
        <x:v>🔴 必考 Must Know</x:v>
      </x:c>
      <x:c r="E97" s="20" t="str">
        <x:f>'Knowledge'!K97</x:f>
        <x:v>Not Started 未学</x:v>
      </x:c>
      <x:c r="F97" s="23" t="str">
        <x:f>IF('Knowledge'!M97="","",'Knowledge'!M97)</x:f>
      </x:c>
      <x:c r="G97" s="20" t="str">
        <x:f>IF(F97="","",F97-TODAY())</x:f>
      </x:c>
      <x:c r="H97" s="20" t="str">
        <x:f>IF(F97="","",IF(E97="Mastered 已掌握","30-day recall",IF(G97&lt;=0,"Review today",IF(G97&lt;=3,"Upcoming","Scheduled"))))</x:f>
      </x:c>
    </x:row>
    <x:row r="98">
      <x:c r="A98" s="20" t="str">
        <x:f>'Knowledge'!A98</x:f>
        <x:v>KP-097</x:v>
      </x:c>
      <x:c r="B98" s="20" t="str">
        <x:f>'Knowledge'!G98</x:f>
        <x:v>帕累托图</x:v>
      </x:c>
      <x:c r="C98" s="20" t="str">
        <x:f>'Knowledge'!H98</x:f>
        <x:v>Pareto Chart</x:v>
      </x:c>
      <x:c r="D98" s="20" t="str">
        <x:f>'Knowledge'!E98</x:f>
        <x:v>🟡 易错 Easy to Confuse</x:v>
      </x:c>
      <x:c r="E98" s="20" t="str">
        <x:f>'Knowledge'!K98</x:f>
        <x:v>Not Started 未学</x:v>
      </x:c>
      <x:c r="F98" s="23" t="str">
        <x:f>IF('Knowledge'!M98="","",'Knowledge'!M98)</x:f>
      </x:c>
      <x:c r="G98" s="20" t="str">
        <x:f>IF(F98="","",F98-TODAY())</x:f>
      </x:c>
      <x:c r="H98" s="20" t="str">
        <x:f>IF(F98="","",IF(E98="Mastered 已掌握","30-day recall",IF(G98&lt;=0,"Review today",IF(G98&lt;=3,"Upcoming","Scheduled"))))</x:f>
      </x:c>
    </x:row>
    <x:row r="99">
      <x:c r="A99" s="20" t="str">
        <x:f>'Knowledge'!A99</x:f>
        <x:v>KP-098</x:v>
      </x:c>
      <x:c r="B99" s="20" t="str">
        <x:f>'Knowledge'!G99</x:f>
        <x:v>因果图</x:v>
      </x:c>
      <x:c r="C99" s="20" t="str">
        <x:f>'Knowledge'!H99</x:f>
        <x:v>Cause-and-Effect / Ishikawa Diagram</x:v>
      </x:c>
      <x:c r="D99" s="20" t="str">
        <x:f>'Knowledge'!E99</x:f>
        <x:v>🟠 高频 High Frequency</x:v>
      </x:c>
      <x:c r="E99" s="20" t="str">
        <x:f>'Knowledge'!K99</x:f>
        <x:v>Not Started 未学</x:v>
      </x:c>
      <x:c r="F99" s="23" t="str">
        <x:f>IF('Knowledge'!M99="","",'Knowledge'!M99)</x:f>
      </x:c>
      <x:c r="G99" s="20" t="str">
        <x:f>IF(F99="","",F99-TODAY())</x:f>
      </x:c>
      <x:c r="H99" s="20" t="str">
        <x:f>IF(F99="","",IF(E99="Mastered 已掌握","30-day recall",IF(G99&lt;=0,"Review today",IF(G99&lt;=3,"Upcoming","Scheduled"))))</x:f>
      </x:c>
    </x:row>
    <x:row r="100">
      <x:c r="A100" s="20" t="str">
        <x:f>'Knowledge'!A100</x:f>
        <x:v>KP-099</x:v>
      </x:c>
      <x:c r="B100" s="20" t="str">
        <x:f>'Knowledge'!G100</x:f>
        <x:v>控制图</x:v>
      </x:c>
      <x:c r="C100" s="20" t="str">
        <x:f>'Knowledge'!H100</x:f>
        <x:v>Control Chart</x:v>
      </x:c>
      <x:c r="D100" s="20" t="str">
        <x:f>'Knowledge'!E100</x:f>
        <x:v>🟡 易错 Easy to Confuse</x:v>
      </x:c>
      <x:c r="E100" s="20" t="str">
        <x:f>'Knowledge'!K100</x:f>
        <x:v>Not Started 未学</x:v>
      </x:c>
      <x:c r="F100" s="23" t="str">
        <x:f>IF('Knowledge'!M100="","",'Knowledge'!M100)</x:f>
      </x:c>
      <x:c r="G100" s="20" t="str">
        <x:f>IF(F100="","",F100-TODAY())</x:f>
      </x:c>
      <x:c r="H100" s="20" t="str">
        <x:f>IF(F100="","",IF(E100="Mastered 已掌握","30-day recall",IF(G100&lt;=0,"Review today",IF(G100&lt;=3,"Upcoming","Scheduled"))))</x:f>
      </x:c>
    </x:row>
    <x:row r="101">
      <x:c r="A101" s="20" t="str">
        <x:f>'Knowledge'!A101</x:f>
        <x:v>KP-100</x:v>
      </x:c>
      <x:c r="B101" s="20" t="str">
        <x:f>'Knowledge'!G101</x:f>
        <x:v>持续改进</x:v>
      </x:c>
      <x:c r="C101" s="20" t="str">
        <x:f>'Knowledge'!H101</x:f>
        <x:v>Continuous Improvement</x:v>
      </x:c>
      <x:c r="D101" s="20" t="str">
        <x:f>'Knowledge'!E101</x:f>
        <x:v>🟠 高频 High Frequency</x:v>
      </x:c>
      <x:c r="E101" s="20" t="str">
        <x:f>'Knowledge'!K101</x:f>
        <x:v>Not Started 未学</x:v>
      </x:c>
      <x:c r="F101" s="23" t="str">
        <x:f>IF('Knowledge'!M101="","",'Knowledge'!M101)</x:f>
      </x:c>
      <x:c r="G101" s="20" t="str">
        <x:f>IF(F101="","",F101-TODAY())</x:f>
      </x:c>
      <x:c r="H101" s="20" t="str">
        <x:f>IF(F101="","",IF(E101="Mastered 已掌握","30-day recall",IF(G101&lt;=0,"Review today",IF(G101&lt;=3,"Upcoming","Scheduled"))))</x:f>
      </x:c>
    </x:row>
    <x:row r="102">
      <x:c r="A102" s="20" t="str">
        <x:f>'Knowledge'!A102</x:f>
        <x:v>KP-101</x:v>
      </x:c>
      <x:c r="B102" s="20" t="str">
        <x:f>'Knowledge'!G102</x:f>
        <x:v>里程碑</x:v>
      </x:c>
      <x:c r="C102" s="20" t="str">
        <x:f>'Knowledge'!H102</x:f>
        <x:v>Milestone</x:v>
      </x:c>
      <x:c r="D102" s="20" t="str">
        <x:f>'Knowledge'!E102</x:f>
        <x:v>🟠 高频 High Frequency</x:v>
      </x:c>
      <x:c r="E102" s="20" t="str">
        <x:f>'Knowledge'!K102</x:f>
        <x:v>Not Started 未学</x:v>
      </x:c>
      <x:c r="F102" s="23" t="str">
        <x:f>IF('Knowledge'!M102="","",'Knowledge'!M102)</x:f>
      </x:c>
      <x:c r="G102" s="20" t="str">
        <x:f>IF(F102="","",F102-TODAY())</x:f>
      </x:c>
      <x:c r="H102" s="20" t="str">
        <x:f>IF(F102="","",IF(E102="Mastered 已掌握","30-day recall",IF(G102&lt;=0,"Review today",IF(G102&lt;=3,"Upcoming","Scheduled"))))</x:f>
      </x:c>
    </x:row>
    <x:row r="103">
      <x:c r="A103" s="20" t="str">
        <x:f>'Knowledge'!A103</x:f>
        <x:v>KP-102</x:v>
      </x:c>
      <x:c r="B103" s="20" t="str">
        <x:f>'Knowledge'!G103</x:f>
        <x:v>依赖关系</x:v>
      </x:c>
      <x:c r="C103" s="20" t="str">
        <x:f>'Knowledge'!H103</x:f>
        <x:v>Dependency</x:v>
      </x:c>
      <x:c r="D103" s="20" t="str">
        <x:f>'Knowledge'!E103</x:f>
        <x:v>🟠 高频 High Frequency</x:v>
      </x:c>
      <x:c r="E103" s="20" t="str">
        <x:f>'Knowledge'!K103</x:f>
        <x:v>Not Started 未学</x:v>
      </x:c>
      <x:c r="F103" s="23" t="str">
        <x:f>IF('Knowledge'!M103="","",'Knowledge'!M103)</x:f>
      </x:c>
      <x:c r="G103" s="20" t="str">
        <x:f>IF(F103="","",F103-TODAY())</x:f>
      </x:c>
      <x:c r="H103" s="20" t="str">
        <x:f>IF(F103="","",IF(E103="Mastered 已掌握","30-day recall",IF(G103&lt;=0,"Review today",IF(G103&lt;=3,"Upcoming","Scheduled"))))</x:f>
      </x:c>
    </x:row>
    <x:row r="104">
      <x:c r="A104" s="20" t="str">
        <x:f>'Knowledge'!A104</x:f>
        <x:v>KP-103</x:v>
      </x:c>
      <x:c r="B104" s="20" t="str">
        <x:f>'Knowledge'!G104</x:f>
        <x:v>完成到开始</x:v>
      </x:c>
      <x:c r="C104" s="20" t="str">
        <x:f>'Knowledge'!H104</x:f>
        <x:v>Finish-to-Start (FS)</x:v>
      </x:c>
      <x:c r="D104" s="20" t="str">
        <x:f>'Knowledge'!E104</x:f>
        <x:v>🟠 高频 High Frequency</x:v>
      </x:c>
      <x:c r="E104" s="20" t="str">
        <x:f>'Knowledge'!K104</x:f>
        <x:v>Not Started 未学</x:v>
      </x:c>
      <x:c r="F104" s="23" t="str">
        <x:f>IF('Knowledge'!M104="","",'Knowledge'!M104)</x:f>
      </x:c>
      <x:c r="G104" s="20" t="str">
        <x:f>IF(F104="","",F104-TODAY())</x:f>
      </x:c>
      <x:c r="H104" s="20" t="str">
        <x:f>IF(F104="","",IF(E104="Mastered 已掌握","30-day recall",IF(G104&lt;=0,"Review today",IF(G104&lt;=3,"Upcoming","Scheduled"))))</x:f>
      </x:c>
    </x:row>
    <x:row r="105">
      <x:c r="A105" s="20" t="str">
        <x:f>'Knowledge'!A105</x:f>
        <x:v>KP-104</x:v>
      </x:c>
      <x:c r="B105" s="20" t="str">
        <x:f>'Knowledge'!G105</x:f>
        <x:v>关键路径</x:v>
      </x:c>
      <x:c r="C105" s="20" t="str">
        <x:f>'Knowledge'!H105</x:f>
        <x:v>Critical Path</x:v>
      </x:c>
      <x:c r="D105" s="20" t="str">
        <x:f>'Knowledge'!E105</x:f>
        <x:v>🔴 必考 Must Know</x:v>
      </x:c>
      <x:c r="E105" s="20" t="str">
        <x:f>'Knowledge'!K105</x:f>
        <x:v>Not Started 未学</x:v>
      </x:c>
      <x:c r="F105" s="23" t="str">
        <x:f>IF('Knowledge'!M105="","",'Knowledge'!M105)</x:f>
      </x:c>
      <x:c r="G105" s="20" t="str">
        <x:f>IF(F105="","",F105-TODAY())</x:f>
      </x:c>
      <x:c r="H105" s="20" t="str">
        <x:f>IF(F105="","",IF(E105="Mastered 已掌握","30-day recall",IF(G105&lt;=0,"Review today",IF(G105&lt;=3,"Upcoming","Scheduled"))))</x:f>
      </x:c>
    </x:row>
    <x:row r="106">
      <x:c r="A106" s="20" t="str">
        <x:f>'Knowledge'!A106</x:f>
        <x:v>KP-105</x:v>
      </x:c>
      <x:c r="B106" s="20" t="str">
        <x:f>'Knowledge'!G106</x:f>
        <x:v>总浮动时间</x:v>
      </x:c>
      <x:c r="C106" s="20" t="str">
        <x:f>'Knowledge'!H106</x:f>
        <x:v>Total Float</x:v>
      </x:c>
      <x:c r="D106" s="20" t="str">
        <x:f>'Knowledge'!E106</x:f>
        <x:v>🟡 易错 Easy to Confuse</x:v>
      </x:c>
      <x:c r="E106" s="20" t="str">
        <x:f>'Knowledge'!K106</x:f>
        <x:v>Not Started 未学</x:v>
      </x:c>
      <x:c r="F106" s="23" t="str">
        <x:f>IF('Knowledge'!M106="","",'Knowledge'!M106)</x:f>
      </x:c>
      <x:c r="G106" s="20" t="str">
        <x:f>IF(F106="","",F106-TODAY())</x:f>
      </x:c>
      <x:c r="H106" s="20" t="str">
        <x:f>IF(F106="","",IF(E106="Mastered 已掌握","30-day recall",IF(G106&lt;=0,"Review today",IF(G106&lt;=3,"Upcoming","Scheduled"))))</x:f>
      </x:c>
    </x:row>
    <x:row r="107">
      <x:c r="A107" s="20" t="str">
        <x:f>'Knowledge'!A107</x:f>
        <x:v>KP-106</x:v>
      </x:c>
      <x:c r="B107" s="20" t="str">
        <x:f>'Knowledge'!G107</x:f>
        <x:v>赶工</x:v>
      </x:c>
      <x:c r="C107" s="20" t="str">
        <x:f>'Knowledge'!H107</x:f>
        <x:v>Crashing</x:v>
      </x:c>
      <x:c r="D107" s="20" t="str">
        <x:f>'Knowledge'!E107</x:f>
        <x:v>🔴 必考 Must Know</x:v>
      </x:c>
      <x:c r="E107" s="20" t="str">
        <x:f>'Knowledge'!K107</x:f>
        <x:v>Not Started 未学</x:v>
      </x:c>
      <x:c r="F107" s="23" t="str">
        <x:f>IF('Knowledge'!M107="","",'Knowledge'!M107)</x:f>
      </x:c>
      <x:c r="G107" s="20" t="str">
        <x:f>IF(F107="","",F107-TODAY())</x:f>
      </x:c>
      <x:c r="H107" s="20" t="str">
        <x:f>IF(F107="","",IF(E107="Mastered 已掌握","30-day recall",IF(G107&lt;=0,"Review today",IF(G107&lt;=3,"Upcoming","Scheduled"))))</x:f>
      </x:c>
    </x:row>
    <x:row r="108">
      <x:c r="A108" s="20" t="str">
        <x:f>'Knowledge'!A108</x:f>
        <x:v>KP-107</x:v>
      </x:c>
      <x:c r="B108" s="20" t="str">
        <x:f>'Knowledge'!G108</x:f>
        <x:v>快速跟进</x:v>
      </x:c>
      <x:c r="C108" s="20" t="str">
        <x:f>'Knowledge'!H108</x:f>
        <x:v>Fast Tracking</x:v>
      </x:c>
      <x:c r="D108" s="20" t="str">
        <x:f>'Knowledge'!E108</x:f>
        <x:v>🔴 必考 Must Know</x:v>
      </x:c>
      <x:c r="E108" s="20" t="str">
        <x:f>'Knowledge'!K108</x:f>
        <x:v>Not Started 未学</x:v>
      </x:c>
      <x:c r="F108" s="23" t="str">
        <x:f>IF('Knowledge'!M108="","",'Knowledge'!M108)</x:f>
      </x:c>
      <x:c r="G108" s="20" t="str">
        <x:f>IF(F108="","",F108-TODAY())</x:f>
      </x:c>
      <x:c r="H108" s="20" t="str">
        <x:f>IF(F108="","",IF(E108="Mastered 已掌握","30-day recall",IF(G108&lt;=0,"Review today",IF(G108&lt;=3,"Upcoming","Scheduled"))))</x:f>
      </x:c>
    </x:row>
    <x:row r="109">
      <x:c r="A109" s="20" t="str">
        <x:f>'Knowledge'!A109</x:f>
        <x:v>KP-108</x:v>
      </x:c>
      <x:c r="B109" s="20" t="str">
        <x:f>'Knowledge'!G109</x:f>
        <x:v>类比估算</x:v>
      </x:c>
      <x:c r="C109" s="20" t="str">
        <x:f>'Knowledge'!H109</x:f>
        <x:v>Analogous Estimating</x:v>
      </x:c>
      <x:c r="D109" s="20" t="str">
        <x:f>'Knowledge'!E109</x:f>
        <x:v>🟠 高频 High Frequency</x:v>
      </x:c>
      <x:c r="E109" s="20" t="str">
        <x:f>'Knowledge'!K109</x:f>
        <x:v>Not Started 未学</x:v>
      </x:c>
      <x:c r="F109" s="23" t="str">
        <x:f>IF('Knowledge'!M109="","",'Knowledge'!M109)</x:f>
      </x:c>
      <x:c r="G109" s="20" t="str">
        <x:f>IF(F109="","",F109-TODAY())</x:f>
      </x:c>
      <x:c r="H109" s="20" t="str">
        <x:f>IF(F109="","",IF(E109="Mastered 已掌握","30-day recall",IF(G109&lt;=0,"Review today",IF(G109&lt;=3,"Upcoming","Scheduled"))))</x:f>
      </x:c>
    </x:row>
    <x:row r="110">
      <x:c r="A110" s="20" t="str">
        <x:f>'Knowledge'!A110</x:f>
        <x:v>KP-109</x:v>
      </x:c>
      <x:c r="B110" s="20" t="str">
        <x:f>'Knowledge'!G110</x:f>
        <x:v>参数估算</x:v>
      </x:c>
      <x:c r="C110" s="20" t="str">
        <x:f>'Knowledge'!H110</x:f>
        <x:v>Parametric Estimating</x:v>
      </x:c>
      <x:c r="D110" s="20" t="str">
        <x:f>'Knowledge'!E110</x:f>
        <x:v>🟠 高频 High Frequency</x:v>
      </x:c>
      <x:c r="E110" s="20" t="str">
        <x:f>'Knowledge'!K110</x:f>
        <x:v>Not Started 未学</x:v>
      </x:c>
      <x:c r="F110" s="23" t="str">
        <x:f>IF('Knowledge'!M110="","",'Knowledge'!M110)</x:f>
      </x:c>
      <x:c r="G110" s="20" t="str">
        <x:f>IF(F110="","",F110-TODAY())</x:f>
      </x:c>
      <x:c r="H110" s="20" t="str">
        <x:f>IF(F110="","",IF(E110="Mastered 已掌握","30-day recall",IF(G110&lt;=0,"Review today",IF(G110&lt;=3,"Upcoming","Scheduled"))))</x:f>
      </x:c>
    </x:row>
    <x:row r="111">
      <x:c r="A111" s="20" t="str">
        <x:f>'Knowledge'!A111</x:f>
        <x:v>KP-110</x:v>
      </x:c>
      <x:c r="B111" s="20" t="str">
        <x:f>'Knowledge'!G111</x:f>
        <x:v>自下而上估算</x:v>
      </x:c>
      <x:c r="C111" s="20" t="str">
        <x:f>'Knowledge'!H111</x:f>
        <x:v>Bottom-up Estimating</x:v>
      </x:c>
      <x:c r="D111" s="20" t="str">
        <x:f>'Knowledge'!E111</x:f>
        <x:v>🟠 高频 High Frequency</x:v>
      </x:c>
      <x:c r="E111" s="20" t="str">
        <x:f>'Knowledge'!K111</x:f>
        <x:v>Not Started 未学</x:v>
      </x:c>
      <x:c r="F111" s="23" t="str">
        <x:f>IF('Knowledge'!M111="","",'Knowledge'!M111)</x:f>
      </x:c>
      <x:c r="G111" s="20" t="str">
        <x:f>IF(F111="","",F111-TODAY())</x:f>
      </x:c>
      <x:c r="H111" s="20" t="str">
        <x:f>IF(F111="","",IF(E111="Mastered 已掌握","30-day recall",IF(G111&lt;=0,"Review today",IF(G111&lt;=3,"Upcoming","Scheduled"))))</x:f>
      </x:c>
    </x:row>
    <x:row r="112">
      <x:c r="A112" s="20" t="str">
        <x:f>'Knowledge'!A112</x:f>
        <x:v>KP-111</x:v>
      </x:c>
      <x:c r="B112" s="20" t="str">
        <x:f>'Knowledge'!G112</x:f>
        <x:v>三点估算</x:v>
      </x:c>
      <x:c r="C112" s="20" t="str">
        <x:f>'Knowledge'!H112</x:f>
        <x:v>Three-point Estimating</x:v>
      </x:c>
      <x:c r="D112" s="20" t="str">
        <x:f>'Knowledge'!E112</x:f>
        <x:v>🟠 高频 High Frequency</x:v>
      </x:c>
      <x:c r="E112" s="20" t="str">
        <x:f>'Knowledge'!K112</x:f>
        <x:v>Not Started 未学</x:v>
      </x:c>
      <x:c r="F112" s="23" t="str">
        <x:f>IF('Knowledge'!M112="","",'Knowledge'!M112)</x:f>
      </x:c>
      <x:c r="G112" s="20" t="str">
        <x:f>IF(F112="","",F112-TODAY())</x:f>
      </x:c>
      <x:c r="H112" s="20" t="str">
        <x:f>IF(F112="","",IF(E112="Mastered 已掌握","30-day recall",IF(G112&lt;=0,"Review today",IF(G112&lt;=3,"Upcoming","Scheduled"))))</x:f>
      </x:c>
    </x:row>
    <x:row r="113">
      <x:c r="A113" s="20" t="str">
        <x:f>'Knowledge'!A113</x:f>
        <x:v>KP-112</x:v>
      </x:c>
      <x:c r="B113" s="20" t="str">
        <x:f>'Knowledge'!G113</x:f>
        <x:v>状态日</x:v>
      </x:c>
      <x:c r="C113" s="20" t="str">
        <x:f>'Knowledge'!H113</x:f>
        <x:v>Data Date / Status Date</x:v>
      </x:c>
      <x:c r="D113" s="20" t="str">
        <x:f>'Knowledge'!E113</x:f>
        <x:v>🟠 高频 High Frequency</x:v>
      </x:c>
      <x:c r="E113" s="20" t="str">
        <x:f>'Knowledge'!K113</x:f>
        <x:v>Not Started 未学</x:v>
      </x:c>
      <x:c r="F113" s="23" t="str">
        <x:f>IF('Knowledge'!M113="","",'Knowledge'!M113)</x:f>
      </x:c>
      <x:c r="G113" s="20" t="str">
        <x:f>IF(F113="","",F113-TODAY())</x:f>
      </x:c>
      <x:c r="H113" s="20" t="str">
        <x:f>IF(F113="","",IF(E113="Mastered 已掌握","30-day recall",IF(G113&lt;=0,"Review today",IF(G113&lt;=3,"Upcoming","Scheduled"))))</x:f>
      </x:c>
    </x:row>
    <x:row r="114">
      <x:c r="A114" s="20" t="str">
        <x:f>'Knowledge'!A114</x:f>
        <x:v>KP-113</x:v>
      </x:c>
      <x:c r="B114" s="20" t="str">
        <x:f>'Knowledge'!G114</x:f>
        <x:v>项目指标</x:v>
      </x:c>
      <x:c r="C114" s="20" t="str">
        <x:f>'Knowledge'!H114</x:f>
        <x:v>Project Metrics</x:v>
      </x:c>
      <x:c r="D114" s="20" t="str">
        <x:f>'Knowledge'!E114</x:f>
        <x:v>🟠 高频 High Frequency</x:v>
      </x:c>
      <x:c r="E114" s="20" t="str">
        <x:f>'Knowledge'!K114</x:f>
        <x:v>Not Started 未学</x:v>
      </x:c>
      <x:c r="F114" s="23" t="str">
        <x:f>IF('Knowledge'!M114="","",'Knowledge'!M114)</x:f>
      </x:c>
      <x:c r="G114" s="20" t="str">
        <x:f>IF(F114="","",F114-TODAY())</x:f>
      </x:c>
      <x:c r="H114" s="20" t="str">
        <x:f>IF(F114="","",IF(E114="Mastered 已掌握","30-day recall",IF(G114&lt;=0,"Review today",IF(G114&lt;=3,"Upcoming","Scheduled"))))</x:f>
      </x:c>
    </x:row>
    <x:row r="115">
      <x:c r="A115" s="20" t="str">
        <x:f>'Knowledge'!A115</x:f>
        <x:v>KP-114</x:v>
      </x:c>
      <x:c r="B115" s="20" t="str">
        <x:f>'Knowledge'!G115</x:f>
        <x:v>工件管理</x:v>
      </x:c>
      <x:c r="C115" s="20" t="str">
        <x:f>'Knowledge'!H115</x:f>
        <x:v>Artifact Management</x:v>
      </x:c>
      <x:c r="D115" s="20" t="str">
        <x:f>'Knowledge'!E115</x:f>
        <x:v>🟠 高频 High Frequency</x:v>
      </x:c>
      <x:c r="E115" s="20" t="str">
        <x:f>'Knowledge'!K115</x:f>
        <x:v>Not Started 未学</x:v>
      </x:c>
      <x:c r="F115" s="23" t="str">
        <x:f>IF('Knowledge'!M115="","",'Knowledge'!M115)</x:f>
      </x:c>
      <x:c r="G115" s="20" t="str">
        <x:f>IF(F115="","",F115-TODAY())</x:f>
      </x:c>
      <x:c r="H115" s="20" t="str">
        <x:f>IF(F115="","",IF(E115="Mastered 已掌握","30-day recall",IF(G115&lt;=0,"Review today",IF(G115&lt;=3,"Upcoming","Scheduled"))))</x:f>
      </x:c>
    </x:row>
    <x:row r="116">
      <x:c r="A116" s="20" t="str">
        <x:f>'Knowledge'!A116</x:f>
        <x:v>KP-115</x:v>
      </x:c>
      <x:c r="B116" s="20" t="str">
        <x:f>'Knowledge'!G116</x:f>
        <x:v>燃尽图</x:v>
      </x:c>
      <x:c r="C116" s="20" t="str">
        <x:f>'Knowledge'!H116</x:f>
        <x:v>Burndown Chart</x:v>
      </x:c>
      <x:c r="D116" s="20" t="str">
        <x:f>'Knowledge'!E116</x:f>
        <x:v>🟡 易错 Easy to Confuse</x:v>
      </x:c>
      <x:c r="E116" s="20" t="str">
        <x:f>'Knowledge'!K116</x:f>
        <x:v>Not Started 未学</x:v>
      </x:c>
      <x:c r="F116" s="23" t="str">
        <x:f>IF('Knowledge'!M116="","",'Knowledge'!M116)</x:f>
      </x:c>
      <x:c r="G116" s="20" t="str">
        <x:f>IF(F116="","",F116-TODAY())</x:f>
      </x:c>
      <x:c r="H116" s="20" t="str">
        <x:f>IF(F116="","",IF(E116="Mastered 已掌握","30-day recall",IF(G116&lt;=0,"Review today",IF(G116&lt;=3,"Upcoming","Scheduled"))))</x:f>
      </x:c>
    </x:row>
    <x:row r="117">
      <x:c r="A117" s="20" t="str">
        <x:f>'Knowledge'!A117</x:f>
        <x:v>KP-116</x:v>
      </x:c>
      <x:c r="B117" s="20" t="str">
        <x:f>'Knowledge'!G117</x:f>
        <x:v>燃起图</x:v>
      </x:c>
      <x:c r="C117" s="20" t="str">
        <x:f>'Knowledge'!H117</x:f>
        <x:v>Burnup Chart</x:v>
      </x:c>
      <x:c r="D117" s="20" t="str">
        <x:f>'Knowledge'!E117</x:f>
        <x:v>🟡 易错 Easy to Confuse</x:v>
      </x:c>
      <x:c r="E117" s="20" t="str">
        <x:f>'Knowledge'!K117</x:f>
        <x:v>Not Started 未学</x:v>
      </x:c>
      <x:c r="F117" s="23" t="str">
        <x:f>IF('Knowledge'!M117="","",'Knowledge'!M117)</x:f>
      </x:c>
      <x:c r="G117" s="20" t="str">
        <x:f>IF(F117="","",F117-TODAY())</x:f>
      </x:c>
      <x:c r="H117" s="20" t="str">
        <x:f>IF(F117="","",IF(E117="Mastered 已掌握","30-day recall",IF(G117&lt;=0,"Review today",IF(G117&lt;=3,"Upcoming","Scheduled"))))</x:f>
      </x:c>
    </x:row>
    <x:row r="118">
      <x:c r="A118" s="20" t="str">
        <x:f>'Knowledge'!A118</x:f>
        <x:v>KP-117</x:v>
      </x:c>
      <x:c r="B118" s="20" t="str">
        <x:f>'Knowledge'!G118</x:f>
        <x:v>速度</x:v>
      </x:c>
      <x:c r="C118" s="20" t="str">
        <x:f>'Knowledge'!H118</x:f>
        <x:v>Velocity</x:v>
      </x:c>
      <x:c r="D118" s="20" t="str">
        <x:f>'Knowledge'!E118</x:f>
        <x:v>🟡 易错 Easy to Confuse</x:v>
      </x:c>
      <x:c r="E118" s="20" t="str">
        <x:f>'Knowledge'!K118</x:f>
        <x:v>Not Started 未学</x:v>
      </x:c>
      <x:c r="F118" s="23" t="str">
        <x:f>IF('Knowledge'!M118="","",'Knowledge'!M118)</x:f>
      </x:c>
      <x:c r="G118" s="20" t="str">
        <x:f>IF(F118="","",F118-TODAY())</x:f>
      </x:c>
      <x:c r="H118" s="20" t="str">
        <x:f>IF(F118="","",IF(E118="Mastered 已掌握","30-day recall",IF(G118&lt;=0,"Review today",IF(G118&lt;=3,"Upcoming","Scheduled"))))</x:f>
      </x:c>
    </x:row>
    <x:row r="119">
      <x:c r="A119" s="20" t="str">
        <x:f>'Knowledge'!A119</x:f>
        <x:v>KP-118</x:v>
      </x:c>
      <x:c r="B119" s="20" t="str">
        <x:f>'Knowledge'!G119</x:f>
        <x:v>正式验收</x:v>
      </x:c>
      <x:c r="C119" s="20" t="str">
        <x:f>'Knowledge'!H119</x:f>
        <x:v>Formal Acceptance</x:v>
      </x:c>
      <x:c r="D119" s="20" t="str">
        <x:f>'Knowledge'!E119</x:f>
        <x:v>🔴 必考 Must Know</x:v>
      </x:c>
      <x:c r="E119" s="20" t="str">
        <x:f>'Knowledge'!K119</x:f>
        <x:v>Not Started 未学</x:v>
      </x:c>
      <x:c r="F119" s="23" t="str">
        <x:f>IF('Knowledge'!M119="","",'Knowledge'!M119)</x:f>
      </x:c>
      <x:c r="G119" s="20" t="str">
        <x:f>IF(F119="","",F119-TODAY())</x:f>
      </x:c>
      <x:c r="H119" s="20" t="str">
        <x:f>IF(F119="","",IF(E119="Mastered 已掌握","30-day recall",IF(G119&lt;=0,"Review today",IF(G119&lt;=3,"Upcoming","Scheduled"))))</x:f>
      </x:c>
    </x:row>
    <x:row r="120">
      <x:c r="A120" s="20" t="str">
        <x:f>'Knowledge'!A120</x:f>
        <x:v>KP-119</x:v>
      </x:c>
      <x:c r="B120" s="20" t="str">
        <x:f>'Knowledge'!G120</x:f>
        <x:v>移交准备度</x:v>
      </x:c>
      <x:c r="C120" s="20" t="str">
        <x:f>'Knowledge'!H120</x:f>
        <x:v>Transition Readiness</x:v>
      </x:c>
      <x:c r="D120" s="20" t="str">
        <x:f>'Knowledge'!E120</x:f>
        <x:v>🔴 必考 Must Know</x:v>
      </x:c>
      <x:c r="E120" s="20" t="str">
        <x:f>'Knowledge'!K120</x:f>
        <x:v>Not Started 未学</x:v>
      </x:c>
      <x:c r="F120" s="23" t="str">
        <x:f>IF('Knowledge'!M120="","",'Knowledge'!M120)</x:f>
      </x:c>
      <x:c r="G120" s="20" t="str">
        <x:f>IF(F120="","",F120-TODAY())</x:f>
      </x:c>
      <x:c r="H120" s="20" t="str">
        <x:f>IF(F120="","",IF(E120="Mastered 已掌握","30-day recall",IF(G120&lt;=0,"Review today",IF(G120&lt;=3,"Upcoming","Scheduled"))))</x:f>
      </x:c>
    </x:row>
    <x:row r="121">
      <x:c r="A121" s="20" t="str">
        <x:f>'Knowledge'!A121</x:f>
        <x:v>KP-120</x:v>
      </x:c>
      <x:c r="B121" s="20" t="str">
        <x:f>'Knowledge'!G121</x:f>
        <x:v>行政收尾</x:v>
      </x:c>
      <x:c r="C121" s="20" t="str">
        <x:f>'Knowledge'!H121</x:f>
        <x:v>Administrative Closure</x:v>
      </x:c>
      <x:c r="D121" s="20" t="str">
        <x:f>'Knowledge'!E121</x:f>
        <x:v>🟠 高频 High Frequency</x:v>
      </x:c>
      <x:c r="E121" s="20" t="str">
        <x:f>'Knowledge'!K121</x:f>
        <x:v>Not Started 未学</x:v>
      </x:c>
      <x:c r="F121" s="23" t="str">
        <x:f>IF('Knowledge'!M121="","",'Knowledge'!M121)</x:f>
      </x:c>
      <x:c r="G121" s="20" t="str">
        <x:f>IF(F121="","",F121-TODAY())</x:f>
      </x:c>
      <x:c r="H121" s="20" t="str">
        <x:f>IF(F121="","",IF(E121="Mastered 已掌握","30-day recall",IF(G121&lt;=0,"Review today",IF(G121&lt;=3,"Upcoming","Scheduled"))))</x:f>
      </x:c>
    </x:row>
    <x:row r="122">
      <x:c r="A122" s="20" t="str">
        <x:f>'Knowledge'!A122</x:f>
        <x:v>KP-121</x:v>
      </x:c>
      <x:c r="B122" s="20" t="str">
        <x:f>'Knowledge'!G122</x:f>
        <x:v>项目治理</x:v>
      </x:c>
      <x:c r="C122" s="20" t="str">
        <x:f>'Knowledge'!H122</x:f>
        <x:v>Project Governance</x:v>
      </x:c>
      <x:c r="D122" s="20" t="str">
        <x:f>'Knowledge'!E122</x:f>
        <x:v>🔴 必考 Must Know</x:v>
      </x:c>
      <x:c r="E122" s="20" t="str">
        <x:f>'Knowledge'!K122</x:f>
        <x:v>Not Started 未学</x:v>
      </x:c>
      <x:c r="F122" s="23" t="str">
        <x:f>IF('Knowledge'!M122="","",'Knowledge'!M122)</x:f>
      </x:c>
      <x:c r="G122" s="20" t="str">
        <x:f>IF(F122="","",F122-TODAY())</x:f>
      </x:c>
      <x:c r="H122" s="20" t="str">
        <x:f>IF(F122="","",IF(E122="Mastered 已掌握","30-day recall",IF(G122&lt;=0,"Review today",IF(G122&lt;=3,"Upcoming","Scheduled"))))</x:f>
      </x:c>
    </x:row>
    <x:row r="123">
      <x:c r="A123" s="20" t="str">
        <x:f>'Knowledge'!A123</x:f>
        <x:v>KP-122</x:v>
      </x:c>
      <x:c r="B123" s="20" t="str">
        <x:f>'Knowledge'!G123</x:f>
        <x:v>组织过程资产</x:v>
      </x:c>
      <x:c r="C123" s="20" t="str">
        <x:f>'Knowledge'!H123</x:f>
        <x:v>Organizational Process Assets (OPAs)</x:v>
      </x:c>
      <x:c r="D123" s="20" t="str">
        <x:f>'Knowledge'!E123</x:f>
        <x:v>🟡 易错 Easy to Confuse</x:v>
      </x:c>
      <x:c r="E123" s="20" t="str">
        <x:f>'Knowledge'!K123</x:f>
        <x:v>Not Started 未学</x:v>
      </x:c>
      <x:c r="F123" s="23" t="str">
        <x:f>IF('Knowledge'!M123="","",'Knowledge'!M123)</x:f>
      </x:c>
      <x:c r="G123" s="20" t="str">
        <x:f>IF(F123="","",F123-TODAY())</x:f>
      </x:c>
      <x:c r="H123" s="20" t="str">
        <x:f>IF(F123="","",IF(E123="Mastered 已掌握","30-day recall",IF(G123&lt;=0,"Review today",IF(G123&lt;=3,"Upcoming","Scheduled"))))</x:f>
      </x:c>
    </x:row>
    <x:row r="124">
      <x:c r="A124" s="20" t="str">
        <x:f>'Knowledge'!A124</x:f>
        <x:v>KP-123</x:v>
      </x:c>
      <x:c r="B124" s="20" t="str">
        <x:f>'Knowledge'!G124</x:f>
        <x:v>事业环境因素</x:v>
      </x:c>
      <x:c r="C124" s="20" t="str">
        <x:f>'Knowledge'!H124</x:f>
        <x:v>Enterprise Environmental Factors (EEFs)</x:v>
      </x:c>
      <x:c r="D124" s="20" t="str">
        <x:f>'Knowledge'!E124</x:f>
        <x:v>🟡 易错 Easy to Confuse</x:v>
      </x:c>
      <x:c r="E124" s="20" t="str">
        <x:f>'Knowledge'!K124</x:f>
        <x:v>Not Started 未学</x:v>
      </x:c>
      <x:c r="F124" s="23" t="str">
        <x:f>IF('Knowledge'!M124="","",'Knowledge'!M124)</x:f>
      </x:c>
      <x:c r="G124" s="20" t="str">
        <x:f>IF(F124="","",F124-TODAY())</x:f>
      </x:c>
      <x:c r="H124" s="20" t="str">
        <x:f>IF(F124="","",IF(E124="Mastered 已掌握","30-day recall",IF(G124&lt;=0,"Review today",IF(G124&lt;=3,"Upcoming","Scheduled"))))</x:f>
      </x:c>
    </x:row>
    <x:row r="125">
      <x:c r="A125" s="20" t="str">
        <x:f>'Knowledge'!A125</x:f>
        <x:v>KP-124</x:v>
      </x:c>
      <x:c r="B125" s="20" t="str">
        <x:f>'Knowledge'!G125</x:f>
        <x:v>成功指标</x:v>
      </x:c>
      <x:c r="C125" s="20" t="str">
        <x:f>'Knowledge'!H125</x:f>
        <x:v>Success Metrics</x:v>
      </x:c>
      <x:c r="D125" s="20" t="str">
        <x:f>'Knowledge'!E125</x:f>
        <x:v>🔴 必考 Must Know</x:v>
      </x:c>
      <x:c r="E125" s="20" t="str">
        <x:f>'Knowledge'!K125</x:f>
        <x:v>Not Started 未学</x:v>
      </x:c>
      <x:c r="F125" s="23" t="str">
        <x:f>IF('Knowledge'!M125="","",'Knowledge'!M125)</x:f>
      </x:c>
      <x:c r="G125" s="20" t="str">
        <x:f>IF(F125="","",F125-TODAY())</x:f>
      </x:c>
      <x:c r="H125" s="20" t="str">
        <x:f>IF(F125="","",IF(E125="Mastered 已掌握","30-day recall",IF(G125&lt;=0,"Review today",IF(G125&lt;=3,"Upcoming","Scheduled"))))</x:f>
      </x:c>
    </x:row>
    <x:row r="126">
      <x:c r="A126" s="20" t="str">
        <x:f>'Knowledge'!A126</x:f>
        <x:v>KP-125</x:v>
      </x:c>
      <x:c r="B126" s="20" t="str">
        <x:f>'Knowledge'!G126</x:f>
        <x:v>升级路径与阈值</x:v>
      </x:c>
      <x:c r="C126" s="20" t="str">
        <x:f>'Knowledge'!H126</x:f>
        <x:v>Escalation Path and Threshold</x:v>
      </x:c>
      <x:c r="D126" s="20" t="str">
        <x:f>'Knowledge'!E126</x:f>
        <x:v>🟡 易错 Easy to Confuse</x:v>
      </x:c>
      <x:c r="E126" s="20" t="str">
        <x:f>'Knowledge'!K126</x:f>
        <x:v>Not Started 未学</x:v>
      </x:c>
      <x:c r="F126" s="23" t="str">
        <x:f>IF('Knowledge'!M126="","",'Knowledge'!M126)</x:f>
      </x:c>
      <x:c r="G126" s="20" t="str">
        <x:f>IF(F126="","",F126-TODAY())</x:f>
      </x:c>
      <x:c r="H126" s="20" t="str">
        <x:f>IF(F126="","",IF(E126="Mastered 已掌握","30-day recall",IF(G126&lt;=0,"Review today",IF(G126&lt;=3,"Upcoming","Scheduled"))))</x:f>
      </x:c>
    </x:row>
    <x:row r="127">
      <x:c r="A127" s="20" t="str">
        <x:f>'Knowledge'!A127</x:f>
        <x:v>KP-126</x:v>
      </x:c>
      <x:c r="B127" s="20" t="str">
        <x:f>'Knowledge'!G127</x:f>
        <x:v>职业道德</x:v>
      </x:c>
      <x:c r="C127" s="20" t="str">
        <x:f>'Knowledge'!H127</x:f>
        <x:v>Professional Ethics</x:v>
      </x:c>
      <x:c r="D127" s="20" t="str">
        <x:f>'Knowledge'!E127</x:f>
        <x:v>🟠 高频 High Frequency</x:v>
      </x:c>
      <x:c r="E127" s="20" t="str">
        <x:f>'Knowledge'!K127</x:f>
        <x:v>Not Started 未学</x:v>
      </x:c>
      <x:c r="F127" s="23" t="str">
        <x:f>IF('Knowledge'!M127="","",'Knowledge'!M127)</x:f>
      </x:c>
      <x:c r="G127" s="20" t="str">
        <x:f>IF(F127="","",F127-TODAY())</x:f>
      </x:c>
      <x:c r="H127" s="20" t="str">
        <x:f>IF(F127="","",IF(E127="Mastered 已掌握","30-day recall",IF(G127&lt;=0,"Review today",IF(G127&lt;=3,"Upcoming","Scheduled"))))</x:f>
      </x:c>
    </x:row>
    <x:row r="128">
      <x:c r="A128" s="20" t="str">
        <x:f>'Knowledge'!A128</x:f>
        <x:v>KP-127</x:v>
      </x:c>
      <x:c r="B128" s="20" t="str">
        <x:f>'Knowledge'!G128</x:f>
        <x:v>合规需求</x:v>
      </x:c>
      <x:c r="C128" s="20" t="str">
        <x:f>'Knowledge'!H128</x:f>
        <x:v>Compliance Requirements</x:v>
      </x:c>
      <x:c r="D128" s="20" t="str">
        <x:f>'Knowledge'!E128</x:f>
        <x:v>🔴 必考 Must Know</x:v>
      </x:c>
      <x:c r="E128" s="20" t="str">
        <x:f>'Knowledge'!K128</x:f>
        <x:v>Not Started 未学</x:v>
      </x:c>
      <x:c r="F128" s="23" t="str">
        <x:f>IF('Knowledge'!M128="","",'Knowledge'!M128)</x:f>
      </x:c>
      <x:c r="G128" s="20" t="str">
        <x:f>IF(F128="","",F128-TODAY())</x:f>
      </x:c>
      <x:c r="H128" s="20" t="str">
        <x:f>IF(F128="","",IF(E128="Mastered 已掌握","30-day recall",IF(G128&lt;=0,"Review today",IF(G128&lt;=3,"Upcoming","Scheduled"))))</x:f>
      </x:c>
    </x:row>
    <x:row r="129">
      <x:c r="A129" s="20" t="str">
        <x:f>'Knowledge'!A129</x:f>
        <x:v>KP-128</x:v>
      </x:c>
      <x:c r="B129" s="20" t="str">
        <x:f>'Knowledge'!G129</x:f>
        <x:v>不合规后果</x:v>
      </x:c>
      <x:c r="C129" s="20" t="str">
        <x:f>'Knowledge'!H129</x:f>
        <x:v>Consequences of Noncompliance</x:v>
      </x:c>
      <x:c r="D129" s="20" t="str">
        <x:f>'Knowledge'!E129</x:f>
        <x:v>🟠 高频 High Frequency</x:v>
      </x:c>
      <x:c r="E129" s="20" t="str">
        <x:f>'Knowledge'!K129</x:f>
        <x:v>Not Started 未学</x:v>
      </x:c>
      <x:c r="F129" s="23" t="str">
        <x:f>IF('Knowledge'!M129="","",'Knowledge'!M129)</x:f>
      </x:c>
      <x:c r="G129" s="20" t="str">
        <x:f>IF(F129="","",F129-TODAY())</x:f>
      </x:c>
      <x:c r="H129" s="20" t="str">
        <x:f>IF(F129="","",IF(E129="Mastered 已掌握","30-day recall",IF(G129&lt;=0,"Review today",IF(G129&lt;=3,"Upcoming","Scheduled"))))</x:f>
      </x:c>
    </x:row>
    <x:row r="130">
      <x:c r="A130" s="20" t="str">
        <x:f>'Knowledge'!A130</x:f>
        <x:v>KP-129</x:v>
      </x:c>
      <x:c r="B130" s="20" t="str">
        <x:f>'Knowledge'!G130</x:f>
        <x:v>合规度量</x:v>
      </x:c>
      <x:c r="C130" s="20" t="str">
        <x:f>'Knowledge'!H130</x:f>
        <x:v>Compliance Measurement</x:v>
      </x:c>
      <x:c r="D130" s="20" t="str">
        <x:f>'Knowledge'!E130</x:f>
        <x:v>🟠 高频 High Frequency</x:v>
      </x:c>
      <x:c r="E130" s="20" t="str">
        <x:f>'Knowledge'!K130</x:f>
        <x:v>Not Started 未学</x:v>
      </x:c>
      <x:c r="F130" s="23" t="str">
        <x:f>IF('Knowledge'!M130="","",'Knowledge'!M130)</x:f>
      </x:c>
      <x:c r="G130" s="20" t="str">
        <x:f>IF(F130="","",F130-TODAY())</x:f>
      </x:c>
      <x:c r="H130" s="20" t="str">
        <x:f>IF(F130="","",IF(E130="Mastered 已掌握","30-day recall",IF(G130&lt;=0,"Review today",IF(G130&lt;=3,"Upcoming","Scheduled"))))</x:f>
      </x:c>
    </x:row>
    <x:row r="131">
      <x:c r="A131" s="20" t="str">
        <x:f>'Knowledge'!A131</x:f>
        <x:v>KP-130</x:v>
      </x:c>
      <x:c r="B131" s="20" t="str">
        <x:f>'Knowledge'!G131</x:f>
        <x:v>数据隐私</x:v>
      </x:c>
      <x:c r="C131" s="20" t="str">
        <x:f>'Knowledge'!H131</x:f>
        <x:v>Data Privacy</x:v>
      </x:c>
      <x:c r="D131" s="20" t="str">
        <x:f>'Knowledge'!E131</x:f>
        <x:v>🟠 高频 High Frequency</x:v>
      </x:c>
      <x:c r="E131" s="20" t="str">
        <x:f>'Knowledge'!K131</x:f>
        <x:v>Not Started 未学</x:v>
      </x:c>
      <x:c r="F131" s="23" t="str">
        <x:f>IF('Knowledge'!M131="","",'Knowledge'!M131)</x:f>
      </x:c>
      <x:c r="G131" s="20" t="str">
        <x:f>IF(F131="","",F131-TODAY())</x:f>
      </x:c>
      <x:c r="H131" s="20" t="str">
        <x:f>IF(F131="","",IF(E131="Mastered 已掌握","30-day recall",IF(G131&lt;=0,"Review today",IF(G131&lt;=3,"Upcoming","Scheduled"))))</x:f>
      </x:c>
    </x:row>
    <x:row r="132">
      <x:c r="A132" s="20" t="str">
        <x:f>'Knowledge'!A132</x:f>
        <x:v>KP-131</x:v>
      </x:c>
      <x:c r="B132" s="20" t="str">
        <x:f>'Knowledge'!G132</x:f>
        <x:v>信息安全</x:v>
      </x:c>
      <x:c r="C132" s="20" t="str">
        <x:f>'Knowledge'!H132</x:f>
        <x:v>Information Security</x:v>
      </x:c>
      <x:c r="D132" s="20" t="str">
        <x:f>'Knowledge'!E132</x:f>
        <x:v>🟠 高频 High Frequency</x:v>
      </x:c>
      <x:c r="E132" s="20" t="str">
        <x:f>'Knowledge'!K132</x:f>
        <x:v>Not Started 未学</x:v>
      </x:c>
      <x:c r="F132" s="23" t="str">
        <x:f>IF('Knowledge'!M132="","",'Knowledge'!M132)</x:f>
      </x:c>
      <x:c r="G132" s="20" t="str">
        <x:f>IF(F132="","",F132-TODAY())</x:f>
      </x:c>
      <x:c r="H132" s="20" t="str">
        <x:f>IF(F132="","",IF(E132="Mastered 已掌握","30-day recall",IF(G132&lt;=0,"Review today",IF(G132&lt;=3,"Upcoming","Scheduled"))))</x:f>
      </x:c>
    </x:row>
    <x:row r="133">
      <x:c r="A133" s="20" t="str">
        <x:f>'Knowledge'!A133</x:f>
        <x:v>KP-132</x:v>
      </x:c>
      <x:c r="B133" s="20" t="str">
        <x:f>'Knowledge'!G133</x:f>
        <x:v>变更请求</x:v>
      </x:c>
      <x:c r="C133" s="20" t="str">
        <x:f>'Knowledge'!H133</x:f>
        <x:v>Change Request</x:v>
      </x:c>
      <x:c r="D133" s="20" t="str">
        <x:f>'Knowledge'!E133</x:f>
        <x:v>🔴 必考 Must Know</x:v>
      </x:c>
      <x:c r="E133" s="20" t="str">
        <x:f>'Knowledge'!K133</x:f>
        <x:v>Not Started 未学</x:v>
      </x:c>
      <x:c r="F133" s="23" t="str">
        <x:f>IF('Knowledge'!M133="","",'Knowledge'!M133)</x:f>
      </x:c>
      <x:c r="G133" s="20" t="str">
        <x:f>IF(F133="","",F133-TODAY())</x:f>
      </x:c>
      <x:c r="H133" s="20" t="str">
        <x:f>IF(F133="","",IF(E133="Mastered 已掌握","30-day recall",IF(G133&lt;=0,"Review today",IF(G133&lt;=3,"Upcoming","Scheduled"))))</x:f>
      </x:c>
    </x:row>
    <x:row r="134">
      <x:c r="A134" s="20" t="str">
        <x:f>'Knowledge'!A134</x:f>
        <x:v>KP-133</x:v>
      </x:c>
      <x:c r="B134" s="20" t="str">
        <x:f>'Knowledge'!G134</x:f>
        <x:v>影响分析</x:v>
      </x:c>
      <x:c r="C134" s="20" t="str">
        <x:f>'Knowledge'!H134</x:f>
        <x:v>Impact Analysis</x:v>
      </x:c>
      <x:c r="D134" s="20" t="str">
        <x:f>'Knowledge'!E134</x:f>
        <x:v>🔴 必考 Must Know</x:v>
      </x:c>
      <x:c r="E134" s="20" t="str">
        <x:f>'Knowledge'!K134</x:f>
        <x:v>Not Started 未学</x:v>
      </x:c>
      <x:c r="F134" s="23" t="str">
        <x:f>IF('Knowledge'!M134="","",'Knowledge'!M134)</x:f>
      </x:c>
      <x:c r="G134" s="20" t="str">
        <x:f>IF(F134="","",F134-TODAY())</x:f>
      </x:c>
      <x:c r="H134" s="20" t="str">
        <x:f>IF(F134="","",IF(E134="Mastered 已掌握","30-day recall",IF(G134&lt;=0,"Review today",IF(G134&lt;=3,"Upcoming","Scheduled"))))</x:f>
      </x:c>
    </x:row>
    <x:row r="135">
      <x:c r="A135" s="20" t="str">
        <x:f>'Knowledge'!A135</x:f>
        <x:v>KP-134</x:v>
      </x:c>
      <x:c r="B135" s="20" t="str">
        <x:f>'Knowledge'!G135</x:f>
        <x:v>实施整体变更控制</x:v>
      </x:c>
      <x:c r="C135" s="20" t="str">
        <x:f>'Knowledge'!H135</x:f>
        <x:v>Perform Integrated Change Control</x:v>
      </x:c>
      <x:c r="D135" s="20" t="str">
        <x:f>'Knowledge'!E135</x:f>
        <x:v>🔴 必考 Must Know</x:v>
      </x:c>
      <x:c r="E135" s="20" t="str">
        <x:f>'Knowledge'!K135</x:f>
        <x:v>Not Started 未学</x:v>
      </x:c>
      <x:c r="F135" s="23" t="str">
        <x:f>IF('Knowledge'!M135="","",'Knowledge'!M135)</x:f>
      </x:c>
      <x:c r="G135" s="20" t="str">
        <x:f>IF(F135="","",F135-TODAY())</x:f>
      </x:c>
      <x:c r="H135" s="20" t="str">
        <x:f>IF(F135="","",IF(E135="Mastered 已掌握","30-day recall",IF(G135&lt;=0,"Review today",IF(G135&lt;=3,"Upcoming","Scheduled"))))</x:f>
      </x:c>
    </x:row>
    <x:row r="136">
      <x:c r="A136" s="20" t="str">
        <x:f>'Knowledge'!A136</x:f>
        <x:v>KP-135</x:v>
      </x:c>
      <x:c r="B136" s="20" t="str">
        <x:f>'Knowledge'!G136</x:f>
        <x:v>变更控制委员会</x:v>
      </x:c>
      <x:c r="C136" s="20" t="str">
        <x:f>'Knowledge'!H136</x:f>
        <x:v>Change Control Board (CCB)</x:v>
      </x:c>
      <x:c r="D136" s="20" t="str">
        <x:f>'Knowledge'!E136</x:f>
        <x:v>🟡 易错 Easy to Confuse</x:v>
      </x:c>
      <x:c r="E136" s="20" t="str">
        <x:f>'Knowledge'!K136</x:f>
        <x:v>Not Started 未学</x:v>
      </x:c>
      <x:c r="F136" s="23" t="str">
        <x:f>IF('Knowledge'!M136="","",'Knowledge'!M136)</x:f>
      </x:c>
      <x:c r="G136" s="20" t="str">
        <x:f>IF(F136="","",F136-TODAY())</x:f>
      </x:c>
      <x:c r="H136" s="20" t="str">
        <x:f>IF(F136="","",IF(E136="Mastered 已掌握","30-day recall",IF(G136&lt;=0,"Review today",IF(G136&lt;=3,"Upcoming","Scheduled"))))</x:f>
      </x:c>
    </x:row>
    <x:row r="137">
      <x:c r="A137" s="20" t="str">
        <x:f>'Knowledge'!A137</x:f>
        <x:v>KP-136</x:v>
      </x:c>
      <x:c r="B137" s="20" t="str">
        <x:f>'Knowledge'!G137</x:f>
        <x:v>敏捷中的变更</x:v>
      </x:c>
      <x:c r="C137" s="20" t="str">
        <x:f>'Knowledge'!H137</x:f>
        <x:v>Change in Agile</x:v>
      </x:c>
      <x:c r="D137" s="20" t="str">
        <x:f>'Knowledge'!E137</x:f>
        <x:v>🔴 必考 Must Know</x:v>
      </x:c>
      <x:c r="E137" s="20" t="str">
        <x:f>'Knowledge'!K137</x:f>
        <x:v>Not Started 未学</x:v>
      </x:c>
      <x:c r="F137" s="23" t="str">
        <x:f>IF('Knowledge'!M137="","",'Knowledge'!M137)</x:f>
      </x:c>
      <x:c r="G137" s="20" t="str">
        <x:f>IF(F137="","",F137-TODAY())</x:f>
      </x:c>
      <x:c r="H137" s="20" t="str">
        <x:f>IF(F137="","",IF(E137="Mastered 已掌握","30-day recall",IF(G137&lt;=0,"Review today",IF(G137&lt;=3,"Upcoming","Scheduled"))))</x:f>
      </x:c>
    </x:row>
    <x:row r="138">
      <x:c r="A138" s="20" t="str">
        <x:f>'Knowledge'!A138</x:f>
        <x:v>KP-137</x:v>
      </x:c>
      <x:c r="B138" s="20" t="str">
        <x:f>'Knowledge'!G138</x:f>
        <x:v>障碍</x:v>
      </x:c>
      <x:c r="C138" s="20" t="str">
        <x:f>'Knowledge'!H138</x:f>
        <x:v>Impediment</x:v>
      </x:c>
      <x:c r="D138" s="20" t="str">
        <x:f>'Knowledge'!E138</x:f>
        <x:v>🟠 高频 High Frequency</x:v>
      </x:c>
      <x:c r="E138" s="20" t="str">
        <x:f>'Knowledge'!K138</x:f>
        <x:v>Not Started 未学</x:v>
      </x:c>
      <x:c r="F138" s="23" t="str">
        <x:f>IF('Knowledge'!M138="","",'Knowledge'!M138)</x:f>
      </x:c>
      <x:c r="G138" s="20" t="str">
        <x:f>IF(F138="","",F138-TODAY())</x:f>
      </x:c>
      <x:c r="H138" s="20" t="str">
        <x:f>IF(F138="","",IF(E138="Mastered 已掌握","30-day recall",IF(G138&lt;=0,"Review today",IF(G138&lt;=3,"Upcoming","Scheduled"))))</x:f>
      </x:c>
    </x:row>
    <x:row r="139">
      <x:c r="A139" s="20" t="str">
        <x:f>'Knowledge'!A139</x:f>
        <x:v>KP-138</x:v>
      </x:c>
      <x:c r="B139" s="20" t="str">
        <x:f>'Knowledge'!G139</x:f>
        <x:v>问题日志</x:v>
      </x:c>
      <x:c r="C139" s="20" t="str">
        <x:f>'Knowledge'!H139</x:f>
        <x:v>Issue Log</x:v>
      </x:c>
      <x:c r="D139" s="20" t="str">
        <x:f>'Knowledge'!E139</x:f>
        <x:v>🔴 必考 Must Know</x:v>
      </x:c>
      <x:c r="E139" s="20" t="str">
        <x:f>'Knowledge'!K139</x:f>
        <x:v>Not Started 未学</x:v>
      </x:c>
      <x:c r="F139" s="23" t="str">
        <x:f>IF('Knowledge'!M139="","",'Knowledge'!M139)</x:f>
      </x:c>
      <x:c r="G139" s="20" t="str">
        <x:f>IF(F139="","",F139-TODAY())</x:f>
      </x:c>
      <x:c r="H139" s="20" t="str">
        <x:f>IF(F139="","",IF(E139="Mastered 已掌握","30-day recall",IF(G139&lt;=0,"Review today",IF(G139&lt;=3,"Upcoming","Scheduled"))))</x:f>
      </x:c>
    </x:row>
    <x:row r="140">
      <x:c r="A140" s="20" t="str">
        <x:f>'Knowledge'!A140</x:f>
        <x:v>KP-139</x:v>
      </x:c>
      <x:c r="B140" s="20" t="str">
        <x:f>'Knowledge'!G140</x:f>
        <x:v>风险转化为问题</x:v>
      </x:c>
      <x:c r="C140" s="20" t="str">
        <x:f>'Knowledge'!H140</x:f>
        <x:v>Risk Becomes an Issue</x:v>
      </x:c>
      <x:c r="D140" s="20" t="str">
        <x:f>'Knowledge'!E140</x:f>
        <x:v>🔴 必考 Must Know</x:v>
      </x:c>
      <x:c r="E140" s="20" t="str">
        <x:f>'Knowledge'!K140</x:f>
        <x:v>Not Started 未学</x:v>
      </x:c>
      <x:c r="F140" s="23" t="str">
        <x:f>IF('Knowledge'!M140="","",'Knowledge'!M140)</x:f>
      </x:c>
      <x:c r="G140" s="20" t="str">
        <x:f>IF(F140="","",F140-TODAY())</x:f>
      </x:c>
      <x:c r="H140" s="20" t="str">
        <x:f>IF(F140="","",IF(E140="Mastered 已掌握","30-day recall",IF(G140&lt;=0,"Review today",IF(G140&lt;=3,"Upcoming","Scheduled"))))</x:f>
      </x:c>
    </x:row>
    <x:row r="141">
      <x:c r="A141" s="20" t="str">
        <x:f>'Knowledge'!A141</x:f>
        <x:v>KP-140</x:v>
      </x:c>
      <x:c r="B141" s="20" t="str">
        <x:f>'Knowledge'!G141</x:f>
        <x:v>权变措施</x:v>
      </x:c>
      <x:c r="C141" s="20" t="str">
        <x:f>'Knowledge'!H141</x:f>
        <x:v>Workaround</x:v>
      </x:c>
      <x:c r="D141" s="20" t="str">
        <x:f>'Knowledge'!E141</x:f>
        <x:v>🟡 易错 Easy to Confuse</x:v>
      </x:c>
      <x:c r="E141" s="20" t="str">
        <x:f>'Knowledge'!K141</x:f>
        <x:v>Not Started 未学</x:v>
      </x:c>
      <x:c r="F141" s="23" t="str">
        <x:f>IF('Knowledge'!M141="","",'Knowledge'!M141)</x:f>
      </x:c>
      <x:c r="G141" s="20" t="str">
        <x:f>IF(F141="","",F141-TODAY())</x:f>
      </x:c>
      <x:c r="H141" s="20" t="str">
        <x:f>IF(F141="","",IF(E141="Mastered 已掌握","30-day recall",IF(G141&lt;=0,"Review today",IF(G141&lt;=3,"Upcoming","Scheduled"))))</x:f>
      </x:c>
    </x:row>
    <x:row r="142">
      <x:c r="A142" s="20" t="str">
        <x:f>'Knowledge'!A142</x:f>
        <x:v>KP-141</x:v>
      </x:c>
      <x:c r="B142" s="20" t="str">
        <x:f>'Knowledge'!G142</x:f>
        <x:v>风险管理计划</x:v>
      </x:c>
      <x:c r="C142" s="20" t="str">
        <x:f>'Knowledge'!H142</x:f>
        <x:v>Risk Management Plan</x:v>
      </x:c>
      <x:c r="D142" s="20" t="str">
        <x:f>'Knowledge'!E142</x:f>
        <x:v>🔴 必考 Must Know</x:v>
      </x:c>
      <x:c r="E142" s="20" t="str">
        <x:f>'Knowledge'!K142</x:f>
        <x:v>Not Started 未学</x:v>
      </x:c>
      <x:c r="F142" s="23" t="str">
        <x:f>IF('Knowledge'!M142="","",'Knowledge'!M142)</x:f>
      </x:c>
      <x:c r="G142" s="20" t="str">
        <x:f>IF(F142="","",F142-TODAY())</x:f>
      </x:c>
      <x:c r="H142" s="20" t="str">
        <x:f>IF(F142="","",IF(E142="Mastered 已掌握","30-day recall",IF(G142&lt;=0,"Review today",IF(G142&lt;=3,"Upcoming","Scheduled"))))</x:f>
      </x:c>
    </x:row>
    <x:row r="143">
      <x:c r="A143" s="20" t="str">
        <x:f>'Knowledge'!A143</x:f>
        <x:v>KP-142</x:v>
      </x:c>
      <x:c r="B143" s="20" t="str">
        <x:f>'Knowledge'!G143</x:f>
        <x:v>风险登记册</x:v>
      </x:c>
      <x:c r="C143" s="20" t="str">
        <x:f>'Knowledge'!H143</x:f>
        <x:v>Risk Register</x:v>
      </x:c>
      <x:c r="D143" s="20" t="str">
        <x:f>'Knowledge'!E143</x:f>
        <x:v>🔴 必考 Must Know</x:v>
      </x:c>
      <x:c r="E143" s="20" t="str">
        <x:f>'Knowledge'!K143</x:f>
        <x:v>Not Started 未学</x:v>
      </x:c>
      <x:c r="F143" s="23" t="str">
        <x:f>IF('Knowledge'!M143="","",'Knowledge'!M143)</x:f>
      </x:c>
      <x:c r="G143" s="20" t="str">
        <x:f>IF(F143="","",F143-TODAY())</x:f>
      </x:c>
      <x:c r="H143" s="20" t="str">
        <x:f>IF(F143="","",IF(E143="Mastered 已掌握","30-day recall",IF(G143&lt;=0,"Review today",IF(G143&lt;=3,"Upcoming","Scheduled"))))</x:f>
      </x:c>
    </x:row>
    <x:row r="144">
      <x:c r="A144" s="20" t="str">
        <x:f>'Knowledge'!A144</x:f>
        <x:v>KP-143</x:v>
      </x:c>
      <x:c r="B144" s="20" t="str">
        <x:f>'Knowledge'!G144</x:f>
        <x:v>风险报告</x:v>
      </x:c>
      <x:c r="C144" s="20" t="str">
        <x:f>'Knowledge'!H144</x:f>
        <x:v>Risk Report</x:v>
      </x:c>
      <x:c r="D144" s="20" t="str">
        <x:f>'Knowledge'!E144</x:f>
        <x:v>🟡 易错 Easy to Confuse</x:v>
      </x:c>
      <x:c r="E144" s="20" t="str">
        <x:f>'Knowledge'!K144</x:f>
        <x:v>Not Started 未学</x:v>
      </x:c>
      <x:c r="F144" s="23" t="str">
        <x:f>IF('Knowledge'!M144="","",'Knowledge'!M144)</x:f>
      </x:c>
      <x:c r="G144" s="20" t="str">
        <x:f>IF(F144="","",F144-TODAY())</x:f>
      </x:c>
      <x:c r="H144" s="20" t="str">
        <x:f>IF(F144="","",IF(E144="Mastered 已掌握","30-day recall",IF(G144&lt;=0,"Review today",IF(G144&lt;=3,"Upcoming","Scheduled"))))</x:f>
      </x:c>
    </x:row>
    <x:row r="145">
      <x:c r="A145" s="20" t="str">
        <x:f>'Knowledge'!A145</x:f>
        <x:v>KP-144</x:v>
      </x:c>
      <x:c r="B145" s="20" t="str">
        <x:f>'Knowledge'!G145</x:f>
        <x:v>定性风险分析</x:v>
      </x:c>
      <x:c r="C145" s="20" t="str">
        <x:f>'Knowledge'!H145</x:f>
        <x:v>Qualitative Risk Analysis</x:v>
      </x:c>
      <x:c r="D145" s="20" t="str">
        <x:f>'Knowledge'!E145</x:f>
        <x:v>🟡 易错 Easy to Confuse</x:v>
      </x:c>
      <x:c r="E145" s="20" t="str">
        <x:f>'Knowledge'!K145</x:f>
        <x:v>Not Started 未学</x:v>
      </x:c>
      <x:c r="F145" s="23" t="str">
        <x:f>IF('Knowledge'!M145="","",'Knowledge'!M145)</x:f>
      </x:c>
      <x:c r="G145" s="20" t="str">
        <x:f>IF(F145="","",F145-TODAY())</x:f>
      </x:c>
      <x:c r="H145" s="20" t="str">
        <x:f>IF(F145="","",IF(E145="Mastered 已掌握","30-day recall",IF(G145&lt;=0,"Review today",IF(G145&lt;=3,"Upcoming","Scheduled"))))</x:f>
      </x:c>
    </x:row>
    <x:row r="146">
      <x:c r="A146" s="20" t="str">
        <x:f>'Knowledge'!A146</x:f>
        <x:v>KP-145</x:v>
      </x:c>
      <x:c r="B146" s="20" t="str">
        <x:f>'Knowledge'!G146</x:f>
        <x:v>定量风险分析</x:v>
      </x:c>
      <x:c r="C146" s="20" t="str">
        <x:f>'Knowledge'!H146</x:f>
        <x:v>Quantitative Risk Analysis</x:v>
      </x:c>
      <x:c r="D146" s="20" t="str">
        <x:f>'Knowledge'!E146</x:f>
        <x:v>🟡 易错 Easy to Confuse</x:v>
      </x:c>
      <x:c r="E146" s="20" t="str">
        <x:f>'Knowledge'!K146</x:f>
        <x:v>Not Started 未学</x:v>
      </x:c>
      <x:c r="F146" s="23" t="str">
        <x:f>IF('Knowledge'!M146="","",'Knowledge'!M146)</x:f>
      </x:c>
      <x:c r="G146" s="20" t="str">
        <x:f>IF(F146="","",F146-TODAY())</x:f>
      </x:c>
      <x:c r="H146" s="20" t="str">
        <x:f>IF(F146="","",IF(E146="Mastered 已掌握","30-day recall",IF(G146&lt;=0,"Review today",IF(G146&lt;=3,"Upcoming","Scheduled"))))</x:f>
      </x:c>
    </x:row>
    <x:row r="147">
      <x:c r="A147" s="20" t="str">
        <x:f>'Knowledge'!A147</x:f>
        <x:v>KP-146</x:v>
      </x:c>
      <x:c r="B147" s="20" t="str">
        <x:f>'Knowledge'!G147</x:f>
        <x:v>威胁规避</x:v>
      </x:c>
      <x:c r="C147" s="20" t="str">
        <x:f>'Knowledge'!H147</x:f>
        <x:v>Avoid Threat</x:v>
      </x:c>
      <x:c r="D147" s="20" t="str">
        <x:f>'Knowledge'!E147</x:f>
        <x:v>🔴 必考 Must Know</x:v>
      </x:c>
      <x:c r="E147" s="20" t="str">
        <x:f>'Knowledge'!K147</x:f>
        <x:v>Not Started 未学</x:v>
      </x:c>
      <x:c r="F147" s="23" t="str">
        <x:f>IF('Knowledge'!M147="","",'Knowledge'!M147)</x:f>
      </x:c>
      <x:c r="G147" s="20" t="str">
        <x:f>IF(F147="","",F147-TODAY())</x:f>
      </x:c>
      <x:c r="H147" s="20" t="str">
        <x:f>IF(F147="","",IF(E147="Mastered 已掌握","30-day recall",IF(G147&lt;=0,"Review today",IF(G147&lt;=3,"Upcoming","Scheduled"))))</x:f>
      </x:c>
    </x:row>
    <x:row r="148">
      <x:c r="A148" s="20" t="str">
        <x:f>'Knowledge'!A148</x:f>
        <x:v>KP-147</x:v>
      </x:c>
      <x:c r="B148" s="20" t="str">
        <x:f>'Knowledge'!G148</x:f>
        <x:v>威胁转移</x:v>
      </x:c>
      <x:c r="C148" s="20" t="str">
        <x:f>'Knowledge'!H148</x:f>
        <x:v>Transfer Threat</x:v>
      </x:c>
      <x:c r="D148" s="20" t="str">
        <x:f>'Knowledge'!E148</x:f>
        <x:v>🔴 必考 Must Know</x:v>
      </x:c>
      <x:c r="E148" s="20" t="str">
        <x:f>'Knowledge'!K148</x:f>
        <x:v>Not Started 未学</x:v>
      </x:c>
      <x:c r="F148" s="23" t="str">
        <x:f>IF('Knowledge'!M148="","",'Knowledge'!M148)</x:f>
      </x:c>
      <x:c r="G148" s="20" t="str">
        <x:f>IF(F148="","",F148-TODAY())</x:f>
      </x:c>
      <x:c r="H148" s="20" t="str">
        <x:f>IF(F148="","",IF(E148="Mastered 已掌握","30-day recall",IF(G148&lt;=0,"Review today",IF(G148&lt;=3,"Upcoming","Scheduled"))))</x:f>
      </x:c>
    </x:row>
    <x:row r="149">
      <x:c r="A149" s="20" t="str">
        <x:f>'Knowledge'!A149</x:f>
        <x:v>KP-148</x:v>
      </x:c>
      <x:c r="B149" s="20" t="str">
        <x:f>'Knowledge'!G149</x:f>
        <x:v>威胁减轻</x:v>
      </x:c>
      <x:c r="C149" s="20" t="str">
        <x:f>'Knowledge'!H149</x:f>
        <x:v>Mitigate Threat</x:v>
      </x:c>
      <x:c r="D149" s="20" t="str">
        <x:f>'Knowledge'!E149</x:f>
        <x:v>🔴 必考 Must Know</x:v>
      </x:c>
      <x:c r="E149" s="20" t="str">
        <x:f>'Knowledge'!K149</x:f>
        <x:v>Not Started 未学</x:v>
      </x:c>
      <x:c r="F149" s="23" t="str">
        <x:f>IF('Knowledge'!M149="","",'Knowledge'!M149)</x:f>
      </x:c>
      <x:c r="G149" s="20" t="str">
        <x:f>IF(F149="","",F149-TODAY())</x:f>
      </x:c>
      <x:c r="H149" s="20" t="str">
        <x:f>IF(F149="","",IF(E149="Mastered 已掌握","30-day recall",IF(G149&lt;=0,"Review today",IF(G149&lt;=3,"Upcoming","Scheduled"))))</x:f>
      </x:c>
    </x:row>
    <x:row r="150">
      <x:c r="A150" s="20" t="str">
        <x:f>'Knowledge'!A150</x:f>
        <x:v>KP-149</x:v>
      </x:c>
      <x:c r="B150" s="20" t="str">
        <x:f>'Knowledge'!G150</x:f>
        <x:v>机会开拓</x:v>
      </x:c>
      <x:c r="C150" s="20" t="str">
        <x:f>'Knowledge'!H150</x:f>
        <x:v>Exploit Opportunity</x:v>
      </x:c>
      <x:c r="D150" s="20" t="str">
        <x:f>'Knowledge'!E150</x:f>
        <x:v>🔴 必考 Must Know</x:v>
      </x:c>
      <x:c r="E150" s="20" t="str">
        <x:f>'Knowledge'!K150</x:f>
        <x:v>Not Started 未学</x:v>
      </x:c>
      <x:c r="F150" s="23" t="str">
        <x:f>IF('Knowledge'!M150="","",'Knowledge'!M150)</x:f>
      </x:c>
      <x:c r="G150" s="20" t="str">
        <x:f>IF(F150="","",F150-TODAY())</x:f>
      </x:c>
      <x:c r="H150" s="20" t="str">
        <x:f>IF(F150="","",IF(E150="Mastered 已掌握","30-day recall",IF(G150&lt;=0,"Review today",IF(G150&lt;=3,"Upcoming","Scheduled"))))</x:f>
      </x:c>
    </x:row>
    <x:row r="151">
      <x:c r="A151" s="20" t="str">
        <x:f>'Knowledge'!A151</x:f>
        <x:v>KP-150</x:v>
      </x:c>
      <x:c r="B151" s="20" t="str">
        <x:f>'Knowledge'!G151</x:f>
        <x:v>机会分享</x:v>
      </x:c>
      <x:c r="C151" s="20" t="str">
        <x:f>'Knowledge'!H151</x:f>
        <x:v>Share Opportunity</x:v>
      </x:c>
      <x:c r="D151" s="20" t="str">
        <x:f>'Knowledge'!E151</x:f>
        <x:v>🟠 高频 High Frequency</x:v>
      </x:c>
      <x:c r="E151" s="20" t="str">
        <x:f>'Knowledge'!K151</x:f>
        <x:v>Not Started 未学</x:v>
      </x:c>
      <x:c r="F151" s="23" t="str">
        <x:f>IF('Knowledge'!M151="","",'Knowledge'!M151)</x:f>
      </x:c>
      <x:c r="G151" s="20" t="str">
        <x:f>IF(F151="","",F151-TODAY())</x:f>
      </x:c>
      <x:c r="H151" s="20" t="str">
        <x:f>IF(F151="","",IF(E151="Mastered 已掌握","30-day recall",IF(G151&lt;=0,"Review today",IF(G151&lt;=3,"Upcoming","Scheduled"))))</x:f>
      </x:c>
    </x:row>
    <x:row r="152">
      <x:c r="A152" s="20" t="str">
        <x:f>'Knowledge'!A152</x:f>
        <x:v>KP-151</x:v>
      </x:c>
      <x:c r="B152" s="20" t="str">
        <x:f>'Knowledge'!G152</x:f>
        <x:v>风险接受</x:v>
      </x:c>
      <x:c r="C152" s="20" t="str">
        <x:f>'Knowledge'!H152</x:f>
        <x:v>Accept Risk</x:v>
      </x:c>
      <x:c r="D152" s="20" t="str">
        <x:f>'Knowledge'!E152</x:f>
        <x:v>🔴 必考 Must Know</x:v>
      </x:c>
      <x:c r="E152" s="20" t="str">
        <x:f>'Knowledge'!K152</x:f>
        <x:v>Not Started 未学</x:v>
      </x:c>
      <x:c r="F152" s="23" t="str">
        <x:f>IF('Knowledge'!M152="","",'Knowledge'!M152)</x:f>
      </x:c>
      <x:c r="G152" s="20" t="str">
        <x:f>IF(F152="","",F152-TODAY())</x:f>
      </x:c>
      <x:c r="H152" s="20" t="str">
        <x:f>IF(F152="","",IF(E152="Mastered 已掌握","30-day recall",IF(G152&lt;=0,"Review today",IF(G152&lt;=3,"Upcoming","Scheduled"))))</x:f>
      </x:c>
    </x:row>
    <x:row r="153">
      <x:c r="A153" s="20" t="str">
        <x:f>'Knowledge'!A153</x:f>
        <x:v>KP-152</x:v>
      </x:c>
      <x:c r="B153" s="20" t="str">
        <x:f>'Knowledge'!G153</x:f>
        <x:v>风险升级</x:v>
      </x:c>
      <x:c r="C153" s="20" t="str">
        <x:f>'Knowledge'!H153</x:f>
        <x:v>Escalate Risk</x:v>
      </x:c>
      <x:c r="D153" s="20" t="str">
        <x:f>'Knowledge'!E153</x:f>
        <x:v>🟡 易错 Easy to Confuse</x:v>
      </x:c>
      <x:c r="E153" s="20" t="str">
        <x:f>'Knowledge'!K153</x:f>
        <x:v>Not Started 未学</x:v>
      </x:c>
      <x:c r="F153" s="23" t="str">
        <x:f>IF('Knowledge'!M153="","",'Knowledge'!M153)</x:f>
      </x:c>
      <x:c r="G153" s="20" t="str">
        <x:f>IF(F153="","",F153-TODAY())</x:f>
      </x:c>
      <x:c r="H153" s="20" t="str">
        <x:f>IF(F153="","",IF(E153="Mastered 已掌握","30-day recall",IF(G153&lt;=0,"Review today",IF(G153&lt;=3,"Upcoming","Scheduled"))))</x:f>
      </x:c>
    </x:row>
    <x:row r="154">
      <x:c r="A154" s="20" t="str">
        <x:f>'Knowledge'!A154</x:f>
        <x:v>KP-153</x:v>
      </x:c>
      <x:c r="B154" s="20" t="str">
        <x:f>'Knowledge'!G154</x:f>
        <x:v>次生风险</x:v>
      </x:c>
      <x:c r="C154" s="20" t="str">
        <x:f>'Knowledge'!H154</x:f>
        <x:v>Secondary Risk</x:v>
      </x:c>
      <x:c r="D154" s="20" t="str">
        <x:f>'Knowledge'!E154</x:f>
        <x:v>🟡 易错 Easy to Confuse</x:v>
      </x:c>
      <x:c r="E154" s="20" t="str">
        <x:f>'Knowledge'!K154</x:f>
        <x:v>Not Started 未学</x:v>
      </x:c>
      <x:c r="F154" s="23" t="str">
        <x:f>IF('Knowledge'!M154="","",'Knowledge'!M154)</x:f>
      </x:c>
      <x:c r="G154" s="20" t="str">
        <x:f>IF(F154="","",F154-TODAY())</x:f>
      </x:c>
      <x:c r="H154" s="20" t="str">
        <x:f>IF(F154="","",IF(E154="Mastered 已掌握","30-day recall",IF(G154&lt;=0,"Review today",IF(G154&lt;=3,"Upcoming","Scheduled"))))</x:f>
      </x:c>
    </x:row>
    <x:row r="155">
      <x:c r="A155" s="20" t="str">
        <x:f>'Knowledge'!A155</x:f>
        <x:v>KP-154</x:v>
      </x:c>
      <x:c r="B155" s="20" t="str">
        <x:f>'Knowledge'!G155</x:f>
        <x:v>残余风险</x:v>
      </x:c>
      <x:c r="C155" s="20" t="str">
        <x:f>'Knowledge'!H155</x:f>
        <x:v>Residual Risk</x:v>
      </x:c>
      <x:c r="D155" s="20" t="str">
        <x:f>'Knowledge'!E155</x:f>
        <x:v>🟡 易错 Easy to Confuse</x:v>
      </x:c>
      <x:c r="E155" s="20" t="str">
        <x:f>'Knowledge'!K155</x:f>
        <x:v>Not Started 未学</x:v>
      </x:c>
      <x:c r="F155" s="23" t="str">
        <x:f>IF('Knowledge'!M155="","",'Knowledge'!M155)</x:f>
      </x:c>
      <x:c r="G155" s="20" t="str">
        <x:f>IF(F155="","",F155-TODAY())</x:f>
      </x:c>
      <x:c r="H155" s="20" t="str">
        <x:f>IF(F155="","",IF(E155="Mastered 已掌握","30-day recall",IF(G155&lt;=0,"Review today",IF(G155&lt;=3,"Upcoming","Scheduled"))))</x:f>
      </x:c>
    </x:row>
    <x:row r="156">
      <x:c r="A156" s="20" t="str">
        <x:f>'Knowledge'!A156</x:f>
        <x:v>KP-155</x:v>
      </x:c>
      <x:c r="B156" s="20" t="str">
        <x:f>'Knowledge'!G156</x:f>
        <x:v>应急计划</x:v>
      </x:c>
      <x:c r="C156" s="20" t="str">
        <x:f>'Knowledge'!H156</x:f>
        <x:v>Contingency Plan</x:v>
      </x:c>
      <x:c r="D156" s="20" t="str">
        <x:f>'Knowledge'!E156</x:f>
        <x:v>🟡 易错 Easy to Confuse</x:v>
      </x:c>
      <x:c r="E156" s="20" t="str">
        <x:f>'Knowledge'!K156</x:f>
        <x:v>Not Started 未学</x:v>
      </x:c>
      <x:c r="F156" s="23" t="str">
        <x:f>IF('Knowledge'!M156="","",'Knowledge'!M156)</x:f>
      </x:c>
      <x:c r="G156" s="20" t="str">
        <x:f>IF(F156="","",F156-TODAY())</x:f>
      </x:c>
      <x:c r="H156" s="20" t="str">
        <x:f>IF(F156="","",IF(E156="Mastered 已掌握","30-day recall",IF(G156&lt;=0,"Review today",IF(G156&lt;=3,"Upcoming","Scheduled"))))</x:f>
      </x:c>
    </x:row>
    <x:row r="157">
      <x:c r="A157" s="20" t="str">
        <x:f>'Knowledge'!A157</x:f>
        <x:v>KP-156</x:v>
      </x:c>
      <x:c r="B157" s="20" t="str">
        <x:f>'Knowledge'!G157</x:f>
        <x:v>回顾会议</x:v>
      </x:c>
      <x:c r="C157" s="20" t="str">
        <x:f>'Knowledge'!H157</x:f>
        <x:v>Retrospective</x:v>
      </x:c>
      <x:c r="D157" s="20" t="str">
        <x:f>'Knowledge'!E157</x:f>
        <x:v>🔴 必考 Must Know</x:v>
      </x:c>
      <x:c r="E157" s="20" t="str">
        <x:f>'Knowledge'!K157</x:f>
        <x:v>Not Started 未学</x:v>
      </x:c>
      <x:c r="F157" s="23" t="str">
        <x:f>IF('Knowledge'!M157="","",'Knowledge'!M157)</x:f>
      </x:c>
      <x:c r="G157" s="20" t="str">
        <x:f>IF(F157="","",F157-TODAY())</x:f>
      </x:c>
      <x:c r="H157" s="20" t="str">
        <x:f>IF(F157="","",IF(E157="Mastered 已掌握","30-day recall",IF(G157&lt;=0,"Review today",IF(G157&lt;=3,"Upcoming","Scheduled"))))</x:f>
      </x:c>
    </x:row>
    <x:row r="158">
      <x:c r="A158" s="20" t="str">
        <x:f>'Knowledge'!A158</x:f>
        <x:v>KP-157</x:v>
      </x:c>
      <x:c r="B158" s="20" t="str">
        <x:f>'Knowledge'!G158</x:f>
        <x:v>根因分析</x:v>
      </x:c>
      <x:c r="C158" s="20" t="str">
        <x:f>'Knowledge'!H158</x:f>
        <x:v>Root Cause Analysis</x:v>
      </x:c>
      <x:c r="D158" s="20" t="str">
        <x:f>'Knowledge'!E158</x:f>
        <x:v>🟠 高频 High Frequency</x:v>
      </x:c>
      <x:c r="E158" s="20" t="str">
        <x:f>'Knowledge'!K158</x:f>
        <x:v>Not Started 未学</x:v>
      </x:c>
      <x:c r="F158" s="23" t="str">
        <x:f>IF('Knowledge'!M158="","",'Knowledge'!M158)</x:f>
      </x:c>
      <x:c r="G158" s="20" t="str">
        <x:f>IF(F158="","",F158-TODAY())</x:f>
      </x:c>
      <x:c r="H158" s="20" t="str">
        <x:f>IF(F158="","",IF(E158="Mastered 已掌握","30-day recall",IF(G158&lt;=0,"Review today",IF(G158&lt;=3,"Upcoming","Scheduled"))))</x:f>
      </x:c>
    </x:row>
    <x:row r="159">
      <x:c r="A159" s="20" t="str">
        <x:f>'Knowledge'!A159</x:f>
        <x:v>KP-158</x:v>
      </x:c>
      <x:c r="B159" s="20" t="str">
        <x:f>'Knowledge'!G159</x:f>
        <x:v>组织过程资产更新</x:v>
      </x:c>
      <x:c r="C159" s="20" t="str">
        <x:f>'Knowledge'!H159</x:f>
        <x:v>OPA Updates</x:v>
      </x:c>
      <x:c r="D159" s="20" t="str">
        <x:f>'Knowledge'!E159</x:f>
        <x:v>🟠 高频 High Frequency</x:v>
      </x:c>
      <x:c r="E159" s="20" t="str">
        <x:f>'Knowledge'!K159</x:f>
        <x:v>Not Started 未学</x:v>
      </x:c>
      <x:c r="F159" s="23" t="str">
        <x:f>IF('Knowledge'!M159="","",'Knowledge'!M159)</x:f>
      </x:c>
      <x:c r="G159" s="20" t="str">
        <x:f>IF(F159="","",F159-TODAY())</x:f>
      </x:c>
      <x:c r="H159" s="20" t="str">
        <x:f>IF(F159="","",IF(E159="Mastered 已掌握","30-day recall",IF(G159&lt;=0,"Review today",IF(G159&lt;=3,"Upcoming","Scheduled"))))</x:f>
      </x:c>
    </x:row>
    <x:row r="160">
      <x:c r="A160" s="20" t="str">
        <x:f>'Knowledge'!A160</x:f>
        <x:v>KP-159</x:v>
      </x:c>
      <x:c r="B160" s="20" t="str">
        <x:f>'Knowledge'!G160</x:f>
        <x:v>组织文化评估</x:v>
      </x:c>
      <x:c r="C160" s="20" t="str">
        <x:f>'Knowledge'!H160</x:f>
        <x:v>Organizational Culture Assessment</x:v>
      </x:c>
      <x:c r="D160" s="20" t="str">
        <x:f>'Knowledge'!E160</x:f>
        <x:v>🔴 必考 Must Know</x:v>
      </x:c>
      <x:c r="E160" s="20" t="str">
        <x:f>'Knowledge'!K160</x:f>
        <x:v>Not Started 未学</x:v>
      </x:c>
      <x:c r="F160" s="23" t="str">
        <x:f>IF('Knowledge'!M160="","",'Knowledge'!M160)</x:f>
      </x:c>
      <x:c r="G160" s="20" t="str">
        <x:f>IF(F160="","",F160-TODAY())</x:f>
      </x:c>
      <x:c r="H160" s="20" t="str">
        <x:f>IF(F160="","",IF(E160="Mastered 已掌握","30-day recall",IF(G160&lt;=0,"Review today",IF(G160&lt;=3,"Upcoming","Scheduled"))))</x:f>
      </x:c>
    </x:row>
    <x:row r="161">
      <x:c r="A161" s="20" t="str">
        <x:f>'Knowledge'!A161</x:f>
        <x:v>KP-160</x:v>
      </x:c>
      <x:c r="B161" s="20" t="str">
        <x:f>'Knowledge'!G161</x:f>
        <x:v>变革影响评估</x:v>
      </x:c>
      <x:c r="C161" s="20" t="str">
        <x:f>'Knowledge'!H161</x:f>
        <x:v>Change Impact Assessment</x:v>
      </x:c>
      <x:c r="D161" s="20" t="str">
        <x:f>'Knowledge'!E161</x:f>
        <x:v>🟠 高频 High Frequency</x:v>
      </x:c>
      <x:c r="E161" s="20" t="str">
        <x:f>'Knowledge'!K161</x:f>
        <x:v>Not Started 未学</x:v>
      </x:c>
      <x:c r="F161" s="23" t="str">
        <x:f>IF('Knowledge'!M161="","",'Knowledge'!M161)</x:f>
      </x:c>
      <x:c r="G161" s="20" t="str">
        <x:f>IF(F161="","",F161-TODAY())</x:f>
      </x:c>
      <x:c r="H161" s="20" t="str">
        <x:f>IF(F161="","",IF(E161="Mastered 已掌握","30-day recall",IF(G161&lt;=0,"Review today",IF(G161&lt;=3,"Upcoming","Scheduled"))))</x:f>
      </x:c>
    </x:row>
    <x:row r="162">
      <x:c r="A162" s="20" t="str">
        <x:f>'Knowledge'!A162</x:f>
        <x:v>KP-161</x:v>
      </x:c>
      <x:c r="B162" s="20" t="str">
        <x:f>'Knowledge'!G162</x:f>
        <x:v>变革采用</x:v>
      </x:c>
      <x:c r="C162" s="20" t="str">
        <x:f>'Knowledge'!H162</x:f>
        <x:v>Change Adoption</x:v>
      </x:c>
      <x:c r="D162" s="20" t="str">
        <x:f>'Knowledge'!E162</x:f>
        <x:v>🟠 高频 High Frequency</x:v>
      </x:c>
      <x:c r="E162" s="20" t="str">
        <x:f>'Knowledge'!K162</x:f>
        <x:v>Not Started 未学</x:v>
      </x:c>
      <x:c r="F162" s="23" t="str">
        <x:f>IF('Knowledge'!M162="","",'Knowledge'!M162)</x:f>
      </x:c>
      <x:c r="G162" s="20" t="str">
        <x:f>IF(F162="","",F162-TODAY())</x:f>
      </x:c>
      <x:c r="H162" s="20" t="str">
        <x:f>IF(F162="","",IF(E162="Mastered 已掌握","30-day recall",IF(G162&lt;=0,"Review today",IF(G162&lt;=3,"Upcoming","Scheduled"))))</x:f>
      </x:c>
    </x:row>
    <x:row r="163">
      <x:c r="A163" s="20" t="str">
        <x:f>'Knowledge'!A163</x:f>
        <x:v>KP-162</x:v>
      </x:c>
      <x:c r="B163" s="20" t="str">
        <x:f>'Knowledge'!G163</x:f>
        <x:v>外部商业环境</x:v>
      </x:c>
      <x:c r="C163" s="20" t="str">
        <x:f>'Knowledge'!H163</x:f>
        <x:v>External Business Environment</x:v>
      </x:c>
      <x:c r="D163" s="20" t="str">
        <x:f>'Knowledge'!E163</x:f>
        <x:v>🔴 必考 Must Know</x:v>
      </x:c>
      <x:c r="E163" s="20" t="str">
        <x:f>'Knowledge'!K163</x:f>
        <x:v>Not Started 未学</x:v>
      </x:c>
      <x:c r="F163" s="23" t="str">
        <x:f>IF('Knowledge'!M163="","",'Knowledge'!M163)</x:f>
      </x:c>
      <x:c r="G163" s="20" t="str">
        <x:f>IF(F163="","",F163-TODAY())</x:f>
      </x:c>
      <x:c r="H163" s="20" t="str">
        <x:f>IF(F163="","",IF(E163="Mastered 已掌握","30-day recall",IF(G163&lt;=0,"Review today",IF(G163&lt;=3,"Upcoming","Scheduled"))))</x:f>
      </x:c>
    </x:row>
    <x:row r="164">
      <x:c r="A164" s="20" t="str">
        <x:f>'Knowledge'!A164</x:f>
        <x:v>KP-163</x:v>
      </x:c>
      <x:c r="B164" s="20" t="str">
        <x:f>'Knowledge'!G164</x:f>
        <x:v>战略一致性</x:v>
      </x:c>
      <x:c r="C164" s="20" t="str">
        <x:f>'Knowledge'!H164</x:f>
        <x:v>Strategic Alignment</x:v>
      </x:c>
      <x:c r="D164" s="20" t="str">
        <x:f>'Knowledge'!E164</x:f>
        <x:v>🔴 必考 Must Know</x:v>
      </x:c>
      <x:c r="E164" s="20" t="str">
        <x:f>'Knowledge'!K164</x:f>
        <x:v>Not Started 未学</x:v>
      </x:c>
      <x:c r="F164" s="23" t="str">
        <x:f>IF('Knowledge'!M164="","",'Knowledge'!M164)</x:f>
      </x:c>
      <x:c r="G164" s="20" t="str">
        <x:f>IF(F164="","",F164-TODAY())</x:f>
      </x:c>
      <x:c r="H164" s="20" t="str">
        <x:f>IF(F164="","",IF(E164="Mastered 已掌握","30-day recall",IF(G164&lt;=0,"Review today",IF(G164&lt;=3,"Upcoming","Scheduled"))))</x:f>
      </x:c>
    </x:row>
    <x:row r="165">
      <x:c r="A165" s="20" t="str">
        <x:f>'Knowledge'!A165</x:f>
        <x:v>KP-164</x:v>
      </x:c>
      <x:c r="B165" s="20" t="str">
        <x:f>'Knowledge'!G165</x:f>
        <x:v>范围/Backlog 重排</x:v>
      </x:c>
      <x:c r="C165" s="20" t="str">
        <x:f>'Knowledge'!H165</x:f>
        <x:v>Reprioritize Scope / Backlog</x:v>
      </x:c>
      <x:c r="D165" s="20" t="str">
        <x:f>'Knowledge'!E165</x:f>
        <x:v>🟠 高频 High Frequency</x:v>
      </x:c>
      <x:c r="E165" s="20" t="str">
        <x:f>'Knowledge'!K165</x:f>
        <x:v>Not Started 未学</x:v>
      </x:c>
      <x:c r="F165" s="23" t="str">
        <x:f>IF('Knowledge'!M165="","",'Knowledge'!M165)</x:f>
      </x:c>
      <x:c r="G165" s="20" t="str">
        <x:f>IF(F165="","",F165-TODAY())</x:f>
      </x:c>
      <x:c r="H165" s="20" t="str">
        <x:f>IF(F165="","",IF(E165="Mastered 已掌握","30-day recall",IF(G165&lt;=0,"Review today",IF(G165&lt;=3,"Upcoming","Scheduled"))))</x:f>
      </x:c>
    </x:row>
    <x:row r="166">
      <x:c r="A166" s="20" t="str">
        <x:f>'Knowledge'!A166</x:f>
        <x:v>KP-165</x:v>
      </x:c>
      <x:c r="B166" s="20" t="str">
        <x:f>'Knowledge'!G166</x:f>
        <x:v>产品负责人</x:v>
      </x:c>
      <x:c r="C166" s="20" t="str">
        <x:f>'Knowledge'!H166</x:f>
        <x:v>Product Owner (PO)</x:v>
      </x:c>
      <x:c r="D166" s="20" t="str">
        <x:f>'Knowledge'!E166</x:f>
        <x:v>🔴 必考 Must Know</x:v>
      </x:c>
      <x:c r="E166" s="20" t="str">
        <x:f>'Knowledge'!K166</x:f>
        <x:v>Not Started 未学</x:v>
      </x:c>
      <x:c r="F166" s="23" t="str">
        <x:f>IF('Knowledge'!M166="","",'Knowledge'!M166)</x:f>
      </x:c>
      <x:c r="G166" s="20" t="str">
        <x:f>IF(F166="","",F166-TODAY())</x:f>
      </x:c>
      <x:c r="H166" s="20" t="str">
        <x:f>IF(F166="","",IF(E166="Mastered 已掌握","30-day recall",IF(G166&lt;=0,"Review today",IF(G166&lt;=3,"Upcoming","Scheduled"))))</x:f>
      </x:c>
    </x:row>
    <x:row r="167">
      <x:c r="A167" s="20" t="str">
        <x:f>'Knowledge'!A167</x:f>
        <x:v>KP-166</x:v>
      </x:c>
      <x:c r="B167" s="20" t="str">
        <x:f>'Knowledge'!G167</x:f>
        <x:v>Scrum Master</x:v>
      </x:c>
      <x:c r="C167" s="20" t="str">
        <x:f>'Knowledge'!H167</x:f>
        <x:v>Scrum Master</x:v>
      </x:c>
      <x:c r="D167" s="20" t="str">
        <x:f>'Knowledge'!E167</x:f>
        <x:v>🔴 必考 Must Know</x:v>
      </x:c>
      <x:c r="E167" s="20" t="str">
        <x:f>'Knowledge'!K167</x:f>
        <x:v>Not Started 未学</x:v>
      </x:c>
      <x:c r="F167" s="23" t="str">
        <x:f>IF('Knowledge'!M167="","",'Knowledge'!M167)</x:f>
      </x:c>
      <x:c r="G167" s="20" t="str">
        <x:f>IF(F167="","",F167-TODAY())</x:f>
      </x:c>
      <x:c r="H167" s="20" t="str">
        <x:f>IF(F167="","",IF(E167="Mastered 已掌握","30-day recall",IF(G167&lt;=0,"Review today",IF(G167&lt;=3,"Upcoming","Scheduled"))))</x:f>
      </x:c>
    </x:row>
    <x:row r="168">
      <x:c r="A168" s="20" t="str">
        <x:f>'Knowledge'!A168</x:f>
        <x:v>KP-167</x:v>
      </x:c>
      <x:c r="B168" s="20" t="str">
        <x:f>'Knowledge'!G168</x:f>
        <x:v>开发人员</x:v>
      </x:c>
      <x:c r="C168" s="20" t="str">
        <x:f>'Knowledge'!H168</x:f>
        <x:v>Developers</x:v>
      </x:c>
      <x:c r="D168" s="20" t="str">
        <x:f>'Knowledge'!E168</x:f>
        <x:v>🔴 必考 Must Know</x:v>
      </x:c>
      <x:c r="E168" s="20" t="str">
        <x:f>'Knowledge'!K168</x:f>
        <x:v>Not Started 未学</x:v>
      </x:c>
      <x:c r="F168" s="23" t="str">
        <x:f>IF('Knowledge'!M168="","",'Knowledge'!M168)</x:f>
      </x:c>
      <x:c r="G168" s="20" t="str">
        <x:f>IF(F168="","",F168-TODAY())</x:f>
      </x:c>
      <x:c r="H168" s="20" t="str">
        <x:f>IF(F168="","",IF(E168="Mastered 已掌握","30-day recall",IF(G168&lt;=0,"Review today",IF(G168&lt;=3,"Upcoming","Scheduled"))))</x:f>
      </x:c>
    </x:row>
    <x:row r="169">
      <x:c r="A169" s="20" t="str">
        <x:f>'Knowledge'!A169</x:f>
        <x:v>KP-168</x:v>
      </x:c>
      <x:c r="B169" s="20" t="str">
        <x:f>'Knowledge'!G169</x:f>
        <x:v>产品待办事项列表</x:v>
      </x:c>
      <x:c r="C169" s="20" t="str">
        <x:f>'Knowledge'!H169</x:f>
        <x:v>Product Backlog</x:v>
      </x:c>
      <x:c r="D169" s="20" t="str">
        <x:f>'Knowledge'!E169</x:f>
        <x:v>🔴 必考 Must Know</x:v>
      </x:c>
      <x:c r="E169" s="20" t="str">
        <x:f>'Knowledge'!K169</x:f>
        <x:v>Not Started 未学</x:v>
      </x:c>
      <x:c r="F169" s="23" t="str">
        <x:f>IF('Knowledge'!M169="","",'Knowledge'!M169)</x:f>
      </x:c>
      <x:c r="G169" s="20" t="str">
        <x:f>IF(F169="","",F169-TODAY())</x:f>
      </x:c>
      <x:c r="H169" s="20" t="str">
        <x:f>IF(F169="","",IF(E169="Mastered 已掌握","30-day recall",IF(G169&lt;=0,"Review today",IF(G169&lt;=3,"Upcoming","Scheduled"))))</x:f>
      </x:c>
    </x:row>
    <x:row r="170">
      <x:c r="A170" s="20" t="str">
        <x:f>'Knowledge'!A170</x:f>
        <x:v>KP-169</x:v>
      </x:c>
      <x:c r="B170" s="20" t="str">
        <x:f>'Knowledge'!G170</x:f>
        <x:v>Sprint 待办事项列表</x:v>
      </x:c>
      <x:c r="C170" s="20" t="str">
        <x:f>'Knowledge'!H170</x:f>
        <x:v>Sprint Backlog</x:v>
      </x:c>
      <x:c r="D170" s="20" t="str">
        <x:f>'Knowledge'!E170</x:f>
        <x:v>🔴 必考 Must Know</x:v>
      </x:c>
      <x:c r="E170" s="20" t="str">
        <x:f>'Knowledge'!K170</x:f>
        <x:v>Not Started 未学</x:v>
      </x:c>
      <x:c r="F170" s="23" t="str">
        <x:f>IF('Knowledge'!M170="","",'Knowledge'!M170)</x:f>
      </x:c>
      <x:c r="G170" s="20" t="str">
        <x:f>IF(F170="","",F170-TODAY())</x:f>
      </x:c>
      <x:c r="H170" s="20" t="str">
        <x:f>IF(F170="","",IF(E170="Mastered 已掌握","30-day recall",IF(G170&lt;=0,"Review today",IF(G170&lt;=3,"Upcoming","Scheduled"))))</x:f>
      </x:c>
    </x:row>
    <x:row r="171">
      <x:c r="A171" s="20" t="str">
        <x:f>'Knowledge'!A171</x:f>
        <x:v>KP-170</x:v>
      </x:c>
      <x:c r="B171" s="20" t="str">
        <x:f>'Knowledge'!G171</x:f>
        <x:v>产品增量</x:v>
      </x:c>
      <x:c r="C171" s="20" t="str">
        <x:f>'Knowledge'!H171</x:f>
        <x:v>Increment</x:v>
      </x:c>
      <x:c r="D171" s="20" t="str">
        <x:f>'Knowledge'!E171</x:f>
        <x:v>🔴 必考 Must Know</x:v>
      </x:c>
      <x:c r="E171" s="20" t="str">
        <x:f>'Knowledge'!K171</x:f>
        <x:v>Not Started 未学</x:v>
      </x:c>
      <x:c r="F171" s="23" t="str">
        <x:f>IF('Knowledge'!M171="","",'Knowledge'!M171)</x:f>
      </x:c>
      <x:c r="G171" s="20" t="str">
        <x:f>IF(F171="","",F171-TODAY())</x:f>
      </x:c>
      <x:c r="H171" s="20" t="str">
        <x:f>IF(F171="","",IF(E171="Mastered 已掌握","30-day recall",IF(G171&lt;=0,"Review today",IF(G171&lt;=3,"Upcoming","Scheduled"))))</x:f>
      </x:c>
    </x:row>
    <x:row r="172">
      <x:c r="A172" s="20" t="str">
        <x:f>'Knowledge'!A172</x:f>
        <x:v>KP-171</x:v>
      </x:c>
      <x:c r="B172" s="20" t="str">
        <x:f>'Knowledge'!G172</x:f>
        <x:v>完成定义</x:v>
      </x:c>
      <x:c r="C172" s="20" t="str">
        <x:f>'Knowledge'!H172</x:f>
        <x:v>Definition of Done (DoD)</x:v>
      </x:c>
      <x:c r="D172" s="20" t="str">
        <x:f>'Knowledge'!E172</x:f>
        <x:v>🟡 易错 Easy to Confuse</x:v>
      </x:c>
      <x:c r="E172" s="20" t="str">
        <x:f>'Knowledge'!K172</x:f>
        <x:v>Not Started 未学</x:v>
      </x:c>
      <x:c r="F172" s="23" t="str">
        <x:f>IF('Knowledge'!M172="","",'Knowledge'!M172)</x:f>
      </x:c>
      <x:c r="G172" s="20" t="str">
        <x:f>IF(F172="","",F172-TODAY())</x:f>
      </x:c>
      <x:c r="H172" s="20" t="str">
        <x:f>IF(F172="","",IF(E172="Mastered 已掌握","30-day recall",IF(G172&lt;=0,"Review today",IF(G172&lt;=3,"Upcoming","Scheduled"))))</x:f>
      </x:c>
    </x:row>
    <x:row r="173">
      <x:c r="A173" s="20" t="str">
        <x:f>'Knowledge'!A173</x:f>
        <x:v>KP-172</x:v>
      </x:c>
      <x:c r="B173" s="20" t="str">
        <x:f>'Knowledge'!G173</x:f>
        <x:v>验收标准</x:v>
      </x:c>
      <x:c r="C173" s="20" t="str">
        <x:f>'Knowledge'!H173</x:f>
        <x:v>Acceptance Criteria</x:v>
      </x:c>
      <x:c r="D173" s="20" t="str">
        <x:f>'Knowledge'!E173</x:f>
        <x:v>🟡 易错 Easy to Confuse</x:v>
      </x:c>
      <x:c r="E173" s="20" t="str">
        <x:f>'Knowledge'!K173</x:f>
        <x:v>Not Started 未学</x:v>
      </x:c>
      <x:c r="F173" s="23" t="str">
        <x:f>IF('Knowledge'!M173="","",'Knowledge'!M173)</x:f>
      </x:c>
      <x:c r="G173" s="20" t="str">
        <x:f>IF(F173="","",F173-TODAY())</x:f>
      </x:c>
      <x:c r="H173" s="20" t="str">
        <x:f>IF(F173="","",IF(E173="Mastered 已掌握","30-day recall",IF(G173&lt;=0,"Review today",IF(G173&lt;=3,"Upcoming","Scheduled"))))</x:f>
      </x:c>
    </x:row>
    <x:row r="174">
      <x:c r="A174" s="20" t="str">
        <x:f>'Knowledge'!A174</x:f>
        <x:v>KP-173</x:v>
      </x:c>
      <x:c r="B174" s="20" t="str">
        <x:f>'Knowledge'!G174</x:f>
        <x:v>用户故事</x:v>
      </x:c>
      <x:c r="C174" s="20" t="str">
        <x:f>'Knowledge'!H174</x:f>
        <x:v>User Story</x:v>
      </x:c>
      <x:c r="D174" s="20" t="str">
        <x:f>'Knowledge'!E174</x:f>
        <x:v>🟠 高频 High Frequency</x:v>
      </x:c>
      <x:c r="E174" s="20" t="str">
        <x:f>'Knowledge'!K174</x:f>
        <x:v>Not Started 未学</x:v>
      </x:c>
      <x:c r="F174" s="23" t="str">
        <x:f>IF('Knowledge'!M174="","",'Knowledge'!M174)</x:f>
      </x:c>
      <x:c r="G174" s="20" t="str">
        <x:f>IF(F174="","",F174-TODAY())</x:f>
      </x:c>
      <x:c r="H174" s="20" t="str">
        <x:f>IF(F174="","",IF(E174="Mastered 已掌握","30-day recall",IF(G174&lt;=0,"Review today",IF(G174&lt;=3,"Upcoming","Scheduled"))))</x:f>
      </x:c>
    </x:row>
    <x:row r="175">
      <x:c r="A175" s="20" t="str">
        <x:f>'Knowledge'!A175</x:f>
        <x:v>KP-174</x:v>
      </x:c>
      <x:c r="B175" s="20" t="str">
        <x:f>'Knowledge'!G175</x:f>
        <x:v>Sprint Planning</x:v>
      </x:c>
      <x:c r="C175" s="20" t="str">
        <x:f>'Knowledge'!H175</x:f>
        <x:v>Sprint Planning</x:v>
      </x:c>
      <x:c r="D175" s="20" t="str">
        <x:f>'Knowledge'!E175</x:f>
        <x:v>🔴 必考 Must Know</x:v>
      </x:c>
      <x:c r="E175" s="20" t="str">
        <x:f>'Knowledge'!K175</x:f>
        <x:v>Not Started 未学</x:v>
      </x:c>
      <x:c r="F175" s="23" t="str">
        <x:f>IF('Knowledge'!M175="","",'Knowledge'!M175)</x:f>
      </x:c>
      <x:c r="G175" s="20" t="str">
        <x:f>IF(F175="","",F175-TODAY())</x:f>
      </x:c>
      <x:c r="H175" s="20" t="str">
        <x:f>IF(F175="","",IF(E175="Mastered 已掌握","30-day recall",IF(G175&lt;=0,"Review today",IF(G175&lt;=3,"Upcoming","Scheduled"))))</x:f>
      </x:c>
    </x:row>
    <x:row r="176">
      <x:c r="A176" s="20" t="str">
        <x:f>'Knowledge'!A176</x:f>
        <x:v>KP-175</x:v>
      </x:c>
      <x:c r="B176" s="20" t="str">
        <x:f>'Knowledge'!G176</x:f>
        <x:v>Daily Scrum</x:v>
      </x:c>
      <x:c r="C176" s="20" t="str">
        <x:f>'Knowledge'!H176</x:f>
        <x:v>Daily Scrum</x:v>
      </x:c>
      <x:c r="D176" s="20" t="str">
        <x:f>'Knowledge'!E176</x:f>
        <x:v>🟠 高频 High Frequency</x:v>
      </x:c>
      <x:c r="E176" s="20" t="str">
        <x:f>'Knowledge'!K176</x:f>
        <x:v>Not Started 未学</x:v>
      </x:c>
      <x:c r="F176" s="23" t="str">
        <x:f>IF('Knowledge'!M176="","",'Knowledge'!M176)</x:f>
      </x:c>
      <x:c r="G176" s="20" t="str">
        <x:f>IF(F176="","",F176-TODAY())</x:f>
      </x:c>
      <x:c r="H176" s="20" t="str">
        <x:f>IF(F176="","",IF(E176="Mastered 已掌握","30-day recall",IF(G176&lt;=0,"Review today",IF(G176&lt;=3,"Upcoming","Scheduled"))))</x:f>
      </x:c>
    </x:row>
    <x:row r="177">
      <x:c r="A177" s="20" t="str">
        <x:f>'Knowledge'!A177</x:f>
        <x:v>KP-176</x:v>
      </x:c>
      <x:c r="B177" s="20" t="str">
        <x:f>'Knowledge'!G177</x:f>
        <x:v>Sprint Review</x:v>
      </x:c>
      <x:c r="C177" s="20" t="str">
        <x:f>'Knowledge'!H177</x:f>
        <x:v>Sprint Review</x:v>
      </x:c>
      <x:c r="D177" s="20" t="str">
        <x:f>'Knowledge'!E177</x:f>
        <x:v>🔴 必考 Must Know</x:v>
      </x:c>
      <x:c r="E177" s="20" t="str">
        <x:f>'Knowledge'!K177</x:f>
        <x:v>Not Started 未学</x:v>
      </x:c>
      <x:c r="F177" s="23" t="str">
        <x:f>IF('Knowledge'!M177="","",'Knowledge'!M177)</x:f>
      </x:c>
      <x:c r="G177" s="20" t="str">
        <x:f>IF(F177="","",F177-TODAY())</x:f>
      </x:c>
      <x:c r="H177" s="20" t="str">
        <x:f>IF(F177="","",IF(E177="Mastered 已掌握","30-day recall",IF(G177&lt;=0,"Review today",IF(G177&lt;=3,"Upcoming","Scheduled"))))</x:f>
      </x:c>
    </x:row>
    <x:row r="178">
      <x:c r="A178" s="20" t="str">
        <x:f>'Knowledge'!A178</x:f>
        <x:v>KP-177</x:v>
      </x:c>
      <x:c r="B178" s="20" t="str">
        <x:f>'Knowledge'!G178</x:f>
        <x:v>Sprint Retrospective</x:v>
      </x:c>
      <x:c r="C178" s="20" t="str">
        <x:f>'Knowledge'!H178</x:f>
        <x:v>Sprint Retrospective</x:v>
      </x:c>
      <x:c r="D178" s="20" t="str">
        <x:f>'Knowledge'!E178</x:f>
        <x:v>🔴 必考 Must Know</x:v>
      </x:c>
      <x:c r="E178" s="20" t="str">
        <x:f>'Knowledge'!K178</x:f>
        <x:v>Not Started 未学</x:v>
      </x:c>
      <x:c r="F178" s="23" t="str">
        <x:f>IF('Knowledge'!M178="","",'Knowledge'!M178)</x:f>
      </x:c>
      <x:c r="G178" s="20" t="str">
        <x:f>IF(F178="","",F178-TODAY())</x:f>
      </x:c>
      <x:c r="H178" s="20" t="str">
        <x:f>IF(F178="","",IF(E178="Mastered 已掌握","30-day recall",IF(G178&lt;=0,"Review today",IF(G178&lt;=3,"Upcoming","Scheduled"))))</x:f>
      </x:c>
    </x:row>
    <x:row r="179">
      <x:c r="A179" s="20" t="str">
        <x:f>'Knowledge'!A179</x:f>
        <x:v>KP-178</x:v>
      </x:c>
      <x:c r="B179" s="20" t="str">
        <x:f>'Knowledge'!G179</x:f>
        <x:v>Backlog Refinement</x:v>
      </x:c>
      <x:c r="C179" s="20" t="str">
        <x:f>'Knowledge'!H179</x:f>
        <x:v>Backlog Refinement</x:v>
      </x:c>
      <x:c r="D179" s="20" t="str">
        <x:f>'Knowledge'!E179</x:f>
        <x:v>🟠 高频 High Frequency</x:v>
      </x:c>
      <x:c r="E179" s="20" t="str">
        <x:f>'Knowledge'!K179</x:f>
        <x:v>Not Started 未学</x:v>
      </x:c>
      <x:c r="F179" s="23" t="str">
        <x:f>IF('Knowledge'!M179="","",'Knowledge'!M179)</x:f>
      </x:c>
      <x:c r="G179" s="20" t="str">
        <x:f>IF(F179="","",F179-TODAY())</x:f>
      </x:c>
      <x:c r="H179" s="20" t="str">
        <x:f>IF(F179="","",IF(E179="Mastered 已掌握","30-day recall",IF(G179&lt;=0,"Review today",IF(G179&lt;=3,"Upcoming","Scheduled"))))</x:f>
      </x:c>
    </x:row>
    <x:row r="180">
      <x:c r="A180" s="20" t="str">
        <x:f>'Knowledge'!A180</x:f>
        <x:v>KP-179</x:v>
      </x:c>
      <x:c r="B180" s="20" t="str">
        <x:f>'Knowledge'!G180</x:f>
        <x:v>故事点</x:v>
      </x:c>
      <x:c r="C180" s="20" t="str">
        <x:f>'Knowledge'!H180</x:f>
        <x:v>Story Points</x:v>
      </x:c>
      <x:c r="D180" s="20" t="str">
        <x:f>'Knowledge'!E180</x:f>
        <x:v>🟠 高频 High Frequency</x:v>
      </x:c>
      <x:c r="E180" s="20" t="str">
        <x:f>'Knowledge'!K180</x:f>
        <x:v>Not Started 未学</x:v>
      </x:c>
      <x:c r="F180" s="23" t="str">
        <x:f>IF('Knowledge'!M180="","",'Knowledge'!M180)</x:f>
      </x:c>
      <x:c r="G180" s="20" t="str">
        <x:f>IF(F180="","",F180-TODAY())</x:f>
      </x:c>
      <x:c r="H180" s="20" t="str">
        <x:f>IF(F180="","",IF(E180="Mastered 已掌握","30-day recall",IF(G180&lt;=0,"Review today",IF(G180&lt;=3,"Upcoming","Scheduled"))))</x:f>
      </x:c>
    </x:row>
    <x:row r="181">
      <x:c r="A181" s="20" t="str">
        <x:f>'Knowledge'!A181</x:f>
        <x:v>KP-180</x:v>
      </x:c>
      <x:c r="B181" s="20" t="str">
        <x:f>'Knowledge'!G181</x:f>
        <x:v>计划扑克</x:v>
      </x:c>
      <x:c r="C181" s="20" t="str">
        <x:f>'Knowledge'!H181</x:f>
        <x:v>Planning Poker</x:v>
      </x:c>
      <x:c r="D181" s="20" t="str">
        <x:f>'Knowledge'!E181</x:f>
        <x:v>🟠 高频 High Frequency</x:v>
      </x:c>
      <x:c r="E181" s="20" t="str">
        <x:f>'Knowledge'!K181</x:f>
        <x:v>Not Started 未学</x:v>
      </x:c>
      <x:c r="F181" s="23" t="str">
        <x:f>IF('Knowledge'!M181="","",'Knowledge'!M181)</x:f>
      </x:c>
      <x:c r="G181" s="20" t="str">
        <x:f>IF(F181="","",F181-TODAY())</x:f>
      </x:c>
      <x:c r="H181" s="20" t="str">
        <x:f>IF(F181="","",IF(E181="Mastered 已掌握","30-day recall",IF(G181&lt;=0,"Review today",IF(G181&lt;=3,"Upcoming","Scheduled"))))</x:f>
      </x:c>
    </x:row>
    <x:row r="182">
      <x:c r="A182" s="20" t="str">
        <x:f>'Knowledge'!A182</x:f>
        <x:v>KP-181</x:v>
      </x:c>
      <x:c r="B182" s="20" t="str">
        <x:f>'Knowledge'!G182</x:f>
        <x:v>看板</x:v>
      </x:c>
      <x:c r="C182" s="20" t="str">
        <x:f>'Knowledge'!H182</x:f>
        <x:v>Kanban</x:v>
      </x:c>
      <x:c r="D182" s="20" t="str">
        <x:f>'Knowledge'!E182</x:f>
        <x:v>🟠 高频 High Frequency</x:v>
      </x:c>
      <x:c r="E182" s="20" t="str">
        <x:f>'Knowledge'!K182</x:f>
        <x:v>Not Started 未学</x:v>
      </x:c>
      <x:c r="F182" s="23" t="str">
        <x:f>IF('Knowledge'!M182="","",'Knowledge'!M182)</x:f>
      </x:c>
      <x:c r="G182" s="20" t="str">
        <x:f>IF(F182="","",F182-TODAY())</x:f>
      </x:c>
      <x:c r="H182" s="20" t="str">
        <x:f>IF(F182="","",IF(E182="Mastered 已掌握","30-day recall",IF(G182&lt;=0,"Review today",IF(G182&lt;=3,"Upcoming","Scheduled"))))</x:f>
      </x:c>
    </x:row>
    <x:row r="183">
      <x:c r="A183" s="20" t="str">
        <x:f>'Knowledge'!A183</x:f>
        <x:v>KP-182</x:v>
      </x:c>
      <x:c r="B183" s="20" t="str">
        <x:f>'Knowledge'!G183</x:f>
        <x:v>在制品限制</x:v>
      </x:c>
      <x:c r="C183" s="20" t="str">
        <x:f>'Knowledge'!H183</x:f>
        <x:v>Work in Progress (WIP) Limit</x:v>
      </x:c>
      <x:c r="D183" s="20" t="str">
        <x:f>'Knowledge'!E183</x:f>
        <x:v>🔴 必考 Must Know</x:v>
      </x:c>
      <x:c r="E183" s="20" t="str">
        <x:f>'Knowledge'!K183</x:f>
        <x:v>Not Started 未学</x:v>
      </x:c>
      <x:c r="F183" s="23" t="str">
        <x:f>IF('Knowledge'!M183="","",'Knowledge'!M183)</x:f>
      </x:c>
      <x:c r="G183" s="20" t="str">
        <x:f>IF(F183="","",F183-TODAY())</x:f>
      </x:c>
      <x:c r="H183" s="20" t="str">
        <x:f>IF(F183="","",IF(E183="Mastered 已掌握","30-day recall",IF(G183&lt;=0,"Review today",IF(G183&lt;=3,"Upcoming","Scheduled"))))</x:f>
      </x:c>
    </x:row>
    <x:row r="184">
      <x:c r="A184" s="20" t="str">
        <x:f>'Knowledge'!A184</x:f>
        <x:v>KP-183</x:v>
      </x:c>
      <x:c r="B184" s="20" t="str">
        <x:f>'Knowledge'!G184</x:f>
        <x:v>循环时间</x:v>
      </x:c>
      <x:c r="C184" s="20" t="str">
        <x:f>'Knowledge'!H184</x:f>
        <x:v>Cycle Time</x:v>
      </x:c>
      <x:c r="D184" s="20" t="str">
        <x:f>'Knowledge'!E184</x:f>
        <x:v>⚪ 了解 Awareness</x:v>
      </x:c>
      <x:c r="E184" s="20" t="str">
        <x:f>'Knowledge'!K184</x:f>
        <x:v>Not Started 未学</x:v>
      </x:c>
      <x:c r="F184" s="23" t="str">
        <x:f>IF('Knowledge'!M184="","",'Knowledge'!M184)</x:f>
      </x:c>
      <x:c r="G184" s="20" t="str">
        <x:f>IF(F184="","",F184-TODAY())</x:f>
      </x:c>
      <x:c r="H184" s="20" t="str">
        <x:f>IF(F184="","",IF(E184="Mastered 已掌握","30-day recall",IF(G184&lt;=0,"Review today",IF(G184&lt;=3,"Upcoming","Scheduled"))))</x:f>
      </x:c>
    </x:row>
    <x:row r="185">
      <x:c r="A185" s="20" t="str">
        <x:f>'Knowledge'!A185</x:f>
        <x:v>KP-184</x:v>
      </x:c>
      <x:c r="B185" s="20" t="str">
        <x:f>'Knowledge'!G185</x:f>
        <x:v>前置时间</x:v>
      </x:c>
      <x:c r="C185" s="20" t="str">
        <x:f>'Knowledge'!H185</x:f>
        <x:v>Lead Time</x:v>
      </x:c>
      <x:c r="D185" s="20" t="str">
        <x:f>'Knowledge'!E185</x:f>
        <x:v>⚪ 了解 Awareness</x:v>
      </x:c>
      <x:c r="E185" s="20" t="str">
        <x:f>'Knowledge'!K185</x:f>
        <x:v>Not Started 未学</x:v>
      </x:c>
      <x:c r="F185" s="23" t="str">
        <x:f>IF('Knowledge'!M185="","",'Knowledge'!M185)</x:f>
      </x:c>
      <x:c r="G185" s="20" t="str">
        <x:f>IF(F185="","",F185-TODAY())</x:f>
      </x:c>
      <x:c r="H185" s="20" t="str">
        <x:f>IF(F185="","",IF(E185="Mastered 已掌握","30-day recall",IF(G185&lt;=0,"Review today",IF(G185&lt;=3,"Upcoming","Scheduled"))))</x:f>
      </x:c>
    </x:row>
    <x:row r="186">
      <x:c r="A186" s="20" t="str">
        <x:f>'Knowledge'!A186</x:f>
        <x:v>KP-185</x:v>
      </x:c>
      <x:c r="B186" s="20" t="str">
        <x:f>'Knowledge'!G186</x:f>
        <x:v>技术债</x:v>
      </x:c>
      <x:c r="C186" s="20" t="str">
        <x:f>'Knowledge'!H186</x:f>
        <x:v>Technical Debt</x:v>
      </x:c>
      <x:c r="D186" s="20" t="str">
        <x:f>'Knowledge'!E186</x:f>
        <x:v>🟠 高频 High Frequency</x:v>
      </x:c>
      <x:c r="E186" s="20" t="str">
        <x:f>'Knowledge'!K186</x:f>
        <x:v>Not Started 未学</x:v>
      </x:c>
      <x:c r="F186" s="23" t="str">
        <x:f>IF('Knowledge'!M186="","",'Knowledge'!M186)</x:f>
      </x:c>
      <x:c r="G186" s="20" t="str">
        <x:f>IF(F186="","",F186-TODAY())</x:f>
      </x:c>
      <x:c r="H186" s="20" t="str">
        <x:f>IF(F186="","",IF(E186="Mastered 已掌握","30-day recall",IF(G186&lt;=0,"Review today",IF(G186&lt;=3,"Upcoming","Scheduled"))))</x:f>
      </x:c>
    </x:row>
    <x:row r="187">
      <x:c r="A187" s="20" t="str">
        <x:f>'Knowledge'!A187</x:f>
        <x:v>KP-186</x:v>
      </x:c>
      <x:c r="B187" s="20" t="str">
        <x:f>'Knowledge'!G187</x:f>
        <x:v>尖峰</x:v>
      </x:c>
      <x:c r="C187" s="20" t="str">
        <x:f>'Knowledge'!H187</x:f>
        <x:v>Spike</x:v>
      </x:c>
      <x:c r="D187" s="20" t="str">
        <x:f>'Knowledge'!E187</x:f>
        <x:v>🟠 高频 High Frequency</x:v>
      </x:c>
      <x:c r="E187" s="20" t="str">
        <x:f>'Knowledge'!K187</x:f>
        <x:v>Not Started 未学</x:v>
      </x:c>
      <x:c r="F187" s="23" t="str">
        <x:f>IF('Knowledge'!M187="","",'Knowledge'!M187)</x:f>
      </x:c>
      <x:c r="G187" s="20" t="str">
        <x:f>IF(F187="","",F187-TODAY())</x:f>
      </x:c>
      <x:c r="H187" s="20" t="str">
        <x:f>IF(F187="","",IF(E187="Mastered 已掌握","30-day recall",IF(G187&lt;=0,"Review today",IF(G187&lt;=3,"Upcoming","Scheduled"))))</x:f>
      </x:c>
    </x:row>
    <x:row r="188">
      <x:c r="A188" s="20" t="str">
        <x:f>'Knowledge'!A188</x:f>
        <x:v>KP-187</x:v>
      </x:c>
      <x:c r="B188" s="20" t="str">
        <x:f>'Knowledge'!G188</x:f>
        <x:v>混合治理</x:v>
      </x:c>
      <x:c r="C188" s="20" t="str">
        <x:f>'Knowledge'!H188</x:f>
        <x:v>Hybrid Governance</x:v>
      </x:c>
      <x:c r="D188" s="20" t="str">
        <x:f>'Knowledge'!E188</x:f>
        <x:v>🔴 必考 Must Know</x:v>
      </x:c>
      <x:c r="E188" s="20" t="str">
        <x:f>'Knowledge'!K188</x:f>
        <x:v>Not Started 未学</x:v>
      </x:c>
      <x:c r="F188" s="23" t="str">
        <x:f>IF('Knowledge'!M188="","",'Knowledge'!M188)</x:f>
      </x:c>
      <x:c r="G188" s="20" t="str">
        <x:f>IF(F188="","",F188-TODAY())</x:f>
      </x:c>
      <x:c r="H188" s="20" t="str">
        <x:f>IF(F188="","",IF(E188="Mastered 已掌握","30-day recall",IF(G188&lt;=0,"Review today",IF(G188&lt;=3,"Upcoming","Scheduled"))))</x:f>
      </x:c>
    </x:row>
    <x:row r="189">
      <x:c r="A189" s="20" t="str">
        <x:f>'Knowledge'!A189</x:f>
        <x:v>KP-188</x:v>
      </x:c>
      <x:c r="B189" s="20" t="str">
        <x:f>'Knowledge'!G189</x:f>
        <x:v>预测型外壳+敏捷交付</x:v>
      </x:c>
      <x:c r="C189" s="20" t="str">
        <x:f>'Knowledge'!H189</x:f>
        <x:v>Predictive Governance with Agile Delivery</x:v>
      </x:c>
      <x:c r="D189" s="20" t="str">
        <x:f>'Knowledge'!E189</x:f>
        <x:v>🔴 必考 Must Know</x:v>
      </x:c>
      <x:c r="E189" s="20" t="str">
        <x:f>'Knowledge'!K189</x:f>
        <x:v>Not Started 未学</x:v>
      </x:c>
      <x:c r="F189" s="23" t="str">
        <x:f>IF('Knowledge'!M189="","",'Knowledge'!M189)</x:f>
      </x:c>
      <x:c r="G189" s="20" t="str">
        <x:f>IF(F189="","",F189-TODAY())</x:f>
      </x:c>
      <x:c r="H189" s="20" t="str">
        <x:f>IF(F189="","",IF(E189="Mastered 已掌握","30-day recall",IF(G189&lt;=0,"Review today",IF(G189&lt;=3,"Upcoming","Scheduled"))))</x:f>
      </x:c>
    </x:row>
    <x:row r="190">
      <x:c r="A190" s="20" t="str">
        <x:f>'Knowledge'!A190</x:f>
        <x:v>KP-189</x:v>
      </x:c>
      <x:c r="B190" s="20" t="str">
        <x:f>'Knowledge'!G190</x:f>
        <x:v>接口管理</x:v>
      </x:c>
      <x:c r="C190" s="20" t="str">
        <x:f>'Knowledge'!H190</x:f>
        <x:v>Interface Management</x:v>
      </x:c>
      <x:c r="D190" s="20" t="str">
        <x:f>'Knowledge'!E190</x:f>
        <x:v>🟠 高频 High Frequency</x:v>
      </x:c>
      <x:c r="E190" s="20" t="str">
        <x:f>'Knowledge'!K190</x:f>
        <x:v>Not Started 未学</x:v>
      </x:c>
      <x:c r="F190" s="23" t="str">
        <x:f>IF('Knowledge'!M190="","",'Knowledge'!M190)</x:f>
      </x:c>
      <x:c r="G190" s="20" t="str">
        <x:f>IF(F190="","",F190-TODAY())</x:f>
      </x:c>
      <x:c r="H190" s="20" t="str">
        <x:f>IF(F190="","",IF(E190="Mastered 已掌握","30-day recall",IF(G190&lt;=0,"Review today",IF(G190&lt;=3,"Upcoming","Scheduled"))))</x:f>
      </x:c>
    </x:row>
    <x:row r="191">
      <x:c r="A191" s="20" t="str">
        <x:f>'Knowledge'!A191</x:f>
        <x:v>KP-190</x:v>
      </x:c>
      <x:c r="B191" s="20" t="str">
        <x:f>'Knowledge'!G191</x:f>
        <x:v>双重报告</x:v>
      </x:c>
      <x:c r="C191" s="20" t="str">
        <x:f>'Knowledge'!H191</x:f>
        <x:v>Dual Reporting</x:v>
      </x:c>
      <x:c r="D191" s="20" t="str">
        <x:f>'Knowledge'!E191</x:f>
        <x:v>🟡 易错 Easy to Confuse</x:v>
      </x:c>
      <x:c r="E191" s="20" t="str">
        <x:f>'Knowledge'!K191</x:f>
        <x:v>Not Started 未学</x:v>
      </x:c>
      <x:c r="F191" s="23" t="str">
        <x:f>IF('Knowledge'!M191="","",'Knowledge'!M191)</x:f>
      </x:c>
      <x:c r="G191" s="20" t="str">
        <x:f>IF(F191="","",F191-TODAY())</x:f>
      </x:c>
      <x:c r="H191" s="20" t="str">
        <x:f>IF(F191="","",IF(E191="Mastered 已掌握","30-day recall",IF(G191&lt;=0,"Review today",IF(G191&lt;=3,"Upcoming","Scheduled"))))</x:f>
      </x:c>
    </x:row>
    <x:row r="192">
      <x:c r="A192" s="20" t="str">
        <x:f>'Knowledge'!A192</x:f>
        <x:v>KP-191</x:v>
      </x:c>
      <x:c r="B192" s="20" t="str">
        <x:f>'Knowledge'!G192</x:f>
        <x:v>渐进明细</x:v>
      </x:c>
      <x:c r="C192" s="20" t="str">
        <x:f>'Knowledge'!H192</x:f>
        <x:v>Progressive Elaboration</x:v>
      </x:c>
      <x:c r="D192" s="20" t="str">
        <x:f>'Knowledge'!E192</x:f>
        <x:v>🟠 高频 High Frequency</x:v>
      </x:c>
      <x:c r="E192" s="20" t="str">
        <x:f>'Knowledge'!K192</x:f>
        <x:v>Not Started 未学</x:v>
      </x:c>
      <x:c r="F192" s="23" t="str">
        <x:f>IF('Knowledge'!M192="","",'Knowledge'!M192)</x:f>
      </x:c>
      <x:c r="G192" s="20" t="str">
        <x:f>IF(F192="","",F192-TODAY())</x:f>
      </x:c>
      <x:c r="H192" s="20" t="str">
        <x:f>IF(F192="","",IF(E192="Mastered 已掌握","30-day recall",IF(G192&lt;=0,"Review today",IF(G192&lt;=3,"Upcoming","Scheduled"))))</x:f>
      </x:c>
    </x:row>
    <x:row r="193">
      <x:c r="A193" s="20" t="str">
        <x:f>'Knowledge'!A193</x:f>
        <x:v>KP-192</x:v>
      </x:c>
      <x:c r="B193" s="20" t="str">
        <x:f>'Knowledge'!G193</x:f>
        <x:v>滚动式规划</x:v>
      </x:c>
      <x:c r="C193" s="20" t="str">
        <x:f>'Knowledge'!H193</x:f>
        <x:v>Rolling Wave Planning</x:v>
      </x:c>
      <x:c r="D193" s="20" t="str">
        <x:f>'Knowledge'!E193</x:f>
        <x:v>🟠 高频 High Frequency</x:v>
      </x:c>
      <x:c r="E193" s="20" t="str">
        <x:f>'Knowledge'!K193</x:f>
        <x:v>Not Started 未学</x:v>
      </x:c>
      <x:c r="F193" s="23" t="str">
        <x:f>IF('Knowledge'!M193="","",'Knowledge'!M193)</x:f>
      </x:c>
      <x:c r="G193" s="20" t="str">
        <x:f>IF(F193="","",F193-TODAY())</x:f>
      </x:c>
      <x:c r="H193" s="20" t="str">
        <x:f>IF(F193="","",IF(E193="Mastered 已掌握","30-day recall",IF(G193&lt;=0,"Review today",IF(G193&lt;=3,"Upcoming","Scheduled"))))</x:f>
      </x:c>
    </x:row>
    <x:row r="194">
      <x:c r="A194" s="20" t="str">
        <x:f>'Knowledge'!A194</x:f>
        <x:v>KP-193</x:v>
      </x:c>
      <x:c r="B194" s="20" t="str">
        <x:f>'Knowledge'!G194</x:f>
        <x:v>负责任的 AI</x:v>
      </x:c>
      <x:c r="C194" s="20" t="str">
        <x:f>'Knowledge'!H194</x:f>
        <x:v>Responsible AI</x:v>
      </x:c>
      <x:c r="D194" s="20" t="str">
        <x:f>'Knowledge'!E194</x:f>
        <x:v>🔴 必考 Must Know</x:v>
      </x:c>
      <x:c r="E194" s="20" t="str">
        <x:f>'Knowledge'!K194</x:f>
        <x:v>Not Started 未学</x:v>
      </x:c>
      <x:c r="F194" s="23" t="str">
        <x:f>IF('Knowledge'!M194="","",'Knowledge'!M194)</x:f>
      </x:c>
      <x:c r="G194" s="20" t="str">
        <x:f>IF(F194="","",F194-TODAY())</x:f>
      </x:c>
      <x:c r="H194" s="20" t="str">
        <x:f>IF(F194="","",IF(E194="Mastered 已掌握","30-day recall",IF(G194&lt;=0,"Review today",IF(G194&lt;=3,"Upcoming","Scheduled"))))</x:f>
      </x:c>
    </x:row>
    <x:row r="195">
      <x:c r="A195" s="20" t="str">
        <x:f>'Knowledge'!A195</x:f>
        <x:v>KP-194</x:v>
      </x:c>
      <x:c r="B195" s="20" t="str">
        <x:f>'Knowledge'!G195</x:f>
        <x:v>人类监督</x:v>
      </x:c>
      <x:c r="C195" s="20" t="str">
        <x:f>'Knowledge'!H195</x:f>
        <x:v>Human Oversight</x:v>
      </x:c>
      <x:c r="D195" s="20" t="str">
        <x:f>'Knowledge'!E195</x:f>
        <x:v>🔴 必考 Must Know</x:v>
      </x:c>
      <x:c r="E195" s="20" t="str">
        <x:f>'Knowledge'!K195</x:f>
        <x:v>Not Started 未学</x:v>
      </x:c>
      <x:c r="F195" s="23" t="str">
        <x:f>IF('Knowledge'!M195="","",'Knowledge'!M195)</x:f>
      </x:c>
      <x:c r="G195" s="20" t="str">
        <x:f>IF(F195="","",F195-TODAY())</x:f>
      </x:c>
      <x:c r="H195" s="20" t="str">
        <x:f>IF(F195="","",IF(E195="Mastered 已掌握","30-day recall",IF(G195&lt;=0,"Review today",IF(G195&lt;=3,"Upcoming","Scheduled"))))</x:f>
      </x:c>
    </x:row>
    <x:row r="196">
      <x:c r="A196" s="20" t="str">
        <x:f>'Knowledge'!A196</x:f>
        <x:v>KP-195</x:v>
      </x:c>
      <x:c r="B196" s="20" t="str">
        <x:f>'Knowledge'!G196</x:f>
        <x:v>AI 输出验证</x:v>
      </x:c>
      <x:c r="C196" s="20" t="str">
        <x:f>'Knowledge'!H196</x:f>
        <x:v>AI Output Validation</x:v>
      </x:c>
      <x:c r="D196" s="20" t="str">
        <x:f>'Knowledge'!E196</x:f>
        <x:v>🔴 必考 Must Know</x:v>
      </x:c>
      <x:c r="E196" s="20" t="str">
        <x:f>'Knowledge'!K196</x:f>
        <x:v>Not Started 未学</x:v>
      </x:c>
      <x:c r="F196" s="23" t="str">
        <x:f>IF('Knowledge'!M196="","",'Knowledge'!M196)</x:f>
      </x:c>
      <x:c r="G196" s="20" t="str">
        <x:f>IF(F196="","",F196-TODAY())</x:f>
      </x:c>
      <x:c r="H196" s="20" t="str">
        <x:f>IF(F196="","",IF(E196="Mastered 已掌握","30-day recall",IF(G196&lt;=0,"Review today",IF(G196&lt;=3,"Upcoming","Scheduled"))))</x:f>
      </x:c>
    </x:row>
    <x:row r="197">
      <x:c r="A197" s="20" t="str">
        <x:f>'Knowledge'!A197</x:f>
        <x:v>KP-196</x:v>
      </x:c>
      <x:c r="B197" s="20" t="str">
        <x:f>'Knowledge'!G197</x:f>
        <x:v>数据质量</x:v>
      </x:c>
      <x:c r="C197" s="20" t="str">
        <x:f>'Knowledge'!H197</x:f>
        <x:v>Data Quality</x:v>
      </x:c>
      <x:c r="D197" s="20" t="str">
        <x:f>'Knowledge'!E197</x:f>
        <x:v>🟠 高频 High Frequency</x:v>
      </x:c>
      <x:c r="E197" s="20" t="str">
        <x:f>'Knowledge'!K197</x:f>
        <x:v>Not Started 未学</x:v>
      </x:c>
      <x:c r="F197" s="23" t="str">
        <x:f>IF('Knowledge'!M197="","",'Knowledge'!M197)</x:f>
      </x:c>
      <x:c r="G197" s="20" t="str">
        <x:f>IF(F197="","",F197-TODAY())</x:f>
      </x:c>
      <x:c r="H197" s="20" t="str">
        <x:f>IF(F197="","",IF(E197="Mastered 已掌握","30-day recall",IF(G197&lt;=0,"Review today",IF(G197&lt;=3,"Upcoming","Scheduled"))))</x:f>
      </x:c>
    </x:row>
    <x:row r="198">
      <x:c r="A198" s="20" t="str">
        <x:f>'Knowledge'!A198</x:f>
        <x:v>KP-197</x:v>
      </x:c>
      <x:c r="B198" s="20" t="str">
        <x:f>'Knowledge'!G198</x:f>
        <x:v>算法偏差</x:v>
      </x:c>
      <x:c r="C198" s="20" t="str">
        <x:f>'Knowledge'!H198</x:f>
        <x:v>Algorithmic Bias</x:v>
      </x:c>
      <x:c r="D198" s="20" t="str">
        <x:f>'Knowledge'!E198</x:f>
        <x:v>🔴 必考 Must Know</x:v>
      </x:c>
      <x:c r="E198" s="20" t="str">
        <x:f>'Knowledge'!K198</x:f>
        <x:v>Not Started 未学</x:v>
      </x:c>
      <x:c r="F198" s="23" t="str">
        <x:f>IF('Knowledge'!M198="","",'Knowledge'!M198)</x:f>
      </x:c>
      <x:c r="G198" s="20" t="str">
        <x:f>IF(F198="","",F198-TODAY())</x:f>
      </x:c>
      <x:c r="H198" s="20" t="str">
        <x:f>IF(F198="","",IF(E198="Mastered 已掌握","30-day recall",IF(G198&lt;=0,"Review today",IF(G198&lt;=3,"Upcoming","Scheduled"))))</x:f>
      </x:c>
    </x:row>
    <x:row r="199">
      <x:c r="A199" s="20" t="str">
        <x:f>'Knowledge'!A199</x:f>
        <x:v>KP-198</x:v>
      </x:c>
      <x:c r="B199" s="20" t="str">
        <x:f>'Knowledge'!G199</x:f>
        <x:v>AI 隐私与保密</x:v>
      </x:c>
      <x:c r="C199" s="20" t="str">
        <x:f>'Knowledge'!H199</x:f>
        <x:v>AI Privacy and Confidentiality</x:v>
      </x:c>
      <x:c r="D199" s="20" t="str">
        <x:f>'Knowledge'!E199</x:f>
        <x:v>🔴 必考 Must Know</x:v>
      </x:c>
      <x:c r="E199" s="20" t="str">
        <x:f>'Knowledge'!K199</x:f>
        <x:v>Not Started 未学</x:v>
      </x:c>
      <x:c r="F199" s="23" t="str">
        <x:f>IF('Knowledge'!M199="","",'Knowledge'!M199)</x:f>
      </x:c>
      <x:c r="G199" s="20" t="str">
        <x:f>IF(F199="","",F199-TODAY())</x:f>
      </x:c>
      <x:c r="H199" s="20" t="str">
        <x:f>IF(F199="","",IF(E199="Mastered 已掌握","30-day recall",IF(G199&lt;=0,"Review today",IF(G199&lt;=3,"Upcoming","Scheduled"))))</x:f>
      </x:c>
    </x:row>
    <x:row r="200">
      <x:c r="A200" s="20" t="str">
        <x:f>'Knowledge'!A200</x:f>
        <x:v>KP-199</x:v>
      </x:c>
      <x:c r="B200" s="20" t="str">
        <x:f>'Knowledge'!G200</x:f>
        <x:v>AI 使用场景评估</x:v>
      </x:c>
      <x:c r="C200" s="20" t="str">
        <x:f>'Knowledge'!H200</x:f>
        <x:v>AI Use-case Assessment</x:v>
      </x:c>
      <x:c r="D200" s="20" t="str">
        <x:f>'Knowledge'!E200</x:f>
        <x:v>🟠 高频 High Frequency</x:v>
      </x:c>
      <x:c r="E200" s="20" t="str">
        <x:f>'Knowledge'!K200</x:f>
        <x:v>Not Started 未学</x:v>
      </x:c>
      <x:c r="F200" s="23" t="str">
        <x:f>IF('Knowledge'!M200="","",'Knowledge'!M200)</x:f>
      </x:c>
      <x:c r="G200" s="20" t="str">
        <x:f>IF(F200="","",F200-TODAY())</x:f>
      </x:c>
      <x:c r="H200" s="20" t="str">
        <x:f>IF(F200="","",IF(E200="Mastered 已掌握","30-day recall",IF(G200&lt;=0,"Review today",IF(G200&lt;=3,"Upcoming","Scheduled"))))</x:f>
      </x:c>
    </x:row>
    <x:row r="201">
      <x:c r="A201" s="20" t="str">
        <x:f>'Knowledge'!A201</x:f>
        <x:v>KP-200</x:v>
      </x:c>
      <x:c r="B201" s="20" t="str">
        <x:f>'Knowledge'!G201</x:f>
        <x:v>提示与版本记录</x:v>
      </x:c>
      <x:c r="C201" s="20" t="str">
        <x:f>'Knowledge'!H201</x:f>
        <x:v>Prompt and Version Logging</x:v>
      </x:c>
      <x:c r="D201" s="20" t="str">
        <x:f>'Knowledge'!E201</x:f>
        <x:v>🟠 高频 High Frequency</x:v>
      </x:c>
      <x:c r="E201" s="20" t="str">
        <x:f>'Knowledge'!K201</x:f>
        <x:v>Not Started 未学</x:v>
      </x:c>
      <x:c r="F201" s="23" t="str">
        <x:f>IF('Knowledge'!M201="","",'Knowledge'!M201)</x:f>
      </x:c>
      <x:c r="G201" s="20" t="str">
        <x:f>IF(F201="","",F201-TODAY())</x:f>
      </x:c>
      <x:c r="H201" s="20" t="str">
        <x:f>IF(F201="","",IF(E201="Mastered 已掌握","30-day recall",IF(G201&lt;=0,"Review today",IF(G201&lt;=3,"Upcoming","Scheduled"))))</x:f>
      </x:c>
    </x:row>
    <x:row r="202">
      <x:c r="A202" s="20" t="str">
        <x:f>'Knowledge'!A202</x:f>
        <x:v>KP-201</x:v>
      </x:c>
      <x:c r="B202" s="20" t="str">
        <x:f>'Knowledge'!G202</x:f>
        <x:v>AI 辅助估算</x:v>
      </x:c>
      <x:c r="C202" s="20" t="str">
        <x:f>'Knowledge'!H202</x:f>
        <x:v>AI-assisted Estimation</x:v>
      </x:c>
      <x:c r="D202" s="20" t="str">
        <x:f>'Knowledge'!E202</x:f>
        <x:v>🟠 高频 High Frequency</x:v>
      </x:c>
      <x:c r="E202" s="20" t="str">
        <x:f>'Knowledge'!K202</x:f>
        <x:v>Not Started 未学</x:v>
      </x:c>
      <x:c r="F202" s="23" t="str">
        <x:f>IF('Knowledge'!M202="","",'Knowledge'!M202)</x:f>
      </x:c>
      <x:c r="G202" s="20" t="str">
        <x:f>IF(F202="","",F202-TODAY())</x:f>
      </x:c>
      <x:c r="H202" s="20" t="str">
        <x:f>IF(F202="","",IF(E202="Mastered 已掌握","30-day recall",IF(G202&lt;=0,"Review today",IF(G202&lt;=3,"Upcoming","Scheduled"))))</x:f>
      </x:c>
    </x:row>
    <x:row r="203">
      <x:c r="A203" s="20" t="str">
        <x:f>'Knowledge'!A203</x:f>
        <x:v>KP-202</x:v>
      </x:c>
      <x:c r="B203" s="20" t="str">
        <x:f>'Knowledge'!G203</x:f>
        <x:v>可持续性整合</x:v>
      </x:c>
      <x:c r="C203" s="20" t="str">
        <x:f>'Knowledge'!H203</x:f>
        <x:v>Sustainability Integration</x:v>
      </x:c>
      <x:c r="D203" s="20" t="str">
        <x:f>'Knowledge'!E203</x:f>
        <x:v>🔴 必考 Must Know</x:v>
      </x:c>
      <x:c r="E203" s="20" t="str">
        <x:f>'Knowledge'!K203</x:f>
        <x:v>Not Started 未学</x:v>
      </x:c>
      <x:c r="F203" s="23" t="str">
        <x:f>IF('Knowledge'!M203="","",'Knowledge'!M203)</x:f>
      </x:c>
      <x:c r="G203" s="20" t="str">
        <x:f>IF(F203="","",F203-TODAY())</x:f>
      </x:c>
      <x:c r="H203" s="20" t="str">
        <x:f>IF(F203="","",IF(E203="Mastered 已掌握","30-day recall",IF(G203&lt;=0,"Review today",IF(G203&lt;=3,"Upcoming","Scheduled"))))</x:f>
      </x:c>
    </x:row>
    <x:row r="204">
      <x:c r="A204" s="20" t="str">
        <x:f>'Knowledge'!A204</x:f>
        <x:v>KP-203</x:v>
      </x:c>
      <x:c r="B204" s="20" t="str">
        <x:f>'Knowledge'!G204</x:f>
        <x:v>生命周期思维</x:v>
      </x:c>
      <x:c r="C204" s="20" t="str">
        <x:f>'Knowledge'!H204</x:f>
        <x:v>Life-cycle Thinking</x:v>
      </x:c>
      <x:c r="D204" s="20" t="str">
        <x:f>'Knowledge'!E204</x:f>
        <x:v>🔴 必考 Must Know</x:v>
      </x:c>
      <x:c r="E204" s="20" t="str">
        <x:f>'Knowledge'!K204</x:f>
        <x:v>Not Started 未学</x:v>
      </x:c>
      <x:c r="F204" s="23" t="str">
        <x:f>IF('Knowledge'!M204="","",'Knowledge'!M204)</x:f>
      </x:c>
      <x:c r="G204" s="20" t="str">
        <x:f>IF(F204="","",F204-TODAY())</x:f>
      </x:c>
      <x:c r="H204" s="20" t="str">
        <x:f>IF(F204="","",IF(E204="Mastered 已掌握","30-day recall",IF(G204&lt;=0,"Review today",IF(G204&lt;=3,"Upcoming","Scheduled"))))</x:f>
      </x:c>
    </x:row>
    <x:row r="205">
      <x:c r="A205" s="20" t="str">
        <x:f>'Knowledge'!A205</x:f>
        <x:v>KP-204</x:v>
      </x:c>
      <x:c r="B205" s="20" t="str">
        <x:f>'Knowledge'!G205</x:f>
        <x:v>三重底线</x:v>
      </x:c>
      <x:c r="C205" s="20" t="str">
        <x:f>'Knowledge'!H205</x:f>
        <x:v>People, Planet, Prosperity</x:v>
      </x:c>
      <x:c r="D205" s="20" t="str">
        <x:f>'Knowledge'!E205</x:f>
        <x:v>🟠 高频 High Frequency</x:v>
      </x:c>
      <x:c r="E205" s="20" t="str">
        <x:f>'Knowledge'!K205</x:f>
        <x:v>Not Started 未学</x:v>
      </x:c>
      <x:c r="F205" s="23" t="str">
        <x:f>IF('Knowledge'!M205="","",'Knowledge'!M205)</x:f>
      </x:c>
      <x:c r="G205" s="20" t="str">
        <x:f>IF(F205="","",F205-TODAY())</x:f>
      </x:c>
      <x:c r="H205" s="20" t="str">
        <x:f>IF(F205="","",IF(E205="Mastered 已掌握","30-day recall",IF(G205&lt;=0,"Review today",IF(G205&lt;=3,"Upcoming","Scheduled"))))</x:f>
      </x:c>
    </x:row>
    <x:row r="206">
      <x:c r="A206" s="20" t="str">
        <x:f>'Knowledge'!A206</x:f>
        <x:v>KP-205</x:v>
      </x:c>
      <x:c r="B206" s="20" t="str">
        <x:f>'Knowledge'!G206</x:f>
        <x:v>可持续采购</x:v>
      </x:c>
      <x:c r="C206" s="20" t="str">
        <x:f>'Knowledge'!H206</x:f>
        <x:v>Sustainable Procurement</x:v>
      </x:c>
      <x:c r="D206" s="20" t="str">
        <x:f>'Knowledge'!E206</x:f>
        <x:v>🔴 必考 Must Know</x:v>
      </x:c>
      <x:c r="E206" s="20" t="str">
        <x:f>'Knowledge'!K206</x:f>
        <x:v>Not Started 未学</x:v>
      </x:c>
      <x:c r="F206" s="23" t="str">
        <x:f>IF('Knowledge'!M206="","",'Knowledge'!M206)</x:f>
      </x:c>
      <x:c r="G206" s="20" t="str">
        <x:f>IF(F206="","",F206-TODAY())</x:f>
      </x:c>
      <x:c r="H206" s="20" t="str">
        <x:f>IF(F206="","",IF(E206="Mastered 已掌握","30-day recall",IF(G206&lt;=0,"Review today",IF(G206&lt;=3,"Upcoming","Scheduled"))))</x:f>
      </x:c>
    </x:row>
    <x:row r="207">
      <x:c r="A207" s="20" t="str">
        <x:f>'Knowledge'!A207</x:f>
        <x:v>KP-206</x:v>
      </x:c>
      <x:c r="B207" s="20" t="str">
        <x:f>'Knowledge'!G207</x:f>
        <x:v>碳与资源指标</x:v>
      </x:c>
      <x:c r="C207" s="20" t="str">
        <x:f>'Knowledge'!H207</x:f>
        <x:v>Carbon and Resource Metrics</x:v>
      </x:c>
      <x:c r="D207" s="20" t="str">
        <x:f>'Knowledge'!E207</x:f>
        <x:v>🟠 高频 High Frequency</x:v>
      </x:c>
      <x:c r="E207" s="20" t="str">
        <x:f>'Knowledge'!K207</x:f>
        <x:v>Not Started 未学</x:v>
      </x:c>
      <x:c r="F207" s="23" t="str">
        <x:f>IF('Knowledge'!M207="","",'Knowledge'!M207)</x:f>
      </x:c>
      <x:c r="G207" s="20" t="str">
        <x:f>IF(F207="","",F207-TODAY())</x:f>
      </x:c>
      <x:c r="H207" s="20" t="str">
        <x:f>IF(F207="","",IF(E207="Mastered 已掌握","30-day recall",IF(G207&lt;=0,"Review today",IF(G207&lt;=3,"Upcoming","Scheduled"))))</x:f>
      </x:c>
    </x:row>
    <x:row r="208">
      <x:c r="A208" s="20" t="str">
        <x:f>'Knowledge'!A208</x:f>
        <x:v>KP-207</x:v>
      </x:c>
      <x:c r="B208" s="20" t="str">
        <x:f>'Knowledge'!G208</x:f>
        <x:v>社会影响</x:v>
      </x:c>
      <x:c r="C208" s="20" t="str">
        <x:f>'Knowledge'!H208</x:f>
        <x:v>Social Impact</x:v>
      </x:c>
      <x:c r="D208" s="20" t="str">
        <x:f>'Knowledge'!E208</x:f>
        <x:v>🟠 高频 High Frequency</x:v>
      </x:c>
      <x:c r="E208" s="20" t="str">
        <x:f>'Knowledge'!K208</x:f>
        <x:v>Not Started 未学</x:v>
      </x:c>
      <x:c r="F208" s="23" t="str">
        <x:f>IF('Knowledge'!M208="","",'Knowledge'!M208)</x:f>
      </x:c>
      <x:c r="G208" s="20" t="str">
        <x:f>IF(F208="","",F208-TODAY())</x:f>
      </x:c>
      <x:c r="H208" s="20" t="str">
        <x:f>IF(F208="","",IF(E208="Mastered 已掌握","30-day recall",IF(G208&lt;=0,"Review today",IF(G208&lt;=3,"Upcoming","Scheduled"))))</x:f>
      </x:c>
    </x:row>
    <x:row r="209">
      <x:c r="A209" s="20" t="str">
        <x:f>'Knowledge'!A209</x:f>
        <x:v>KP-208</x:v>
      </x:c>
      <x:c r="B209" s="20" t="str">
        <x:f>'Knowledge'!G209</x:f>
        <x:v>可持续性风险</x:v>
      </x:c>
      <x:c r="C209" s="20" t="str">
        <x:f>'Knowledge'!H209</x:f>
        <x:v>Sustainability Risk</x:v>
      </x:c>
      <x:c r="D209" s="20" t="str">
        <x:f>'Knowledge'!E209</x:f>
        <x:v>🔴 必考 Must Know</x:v>
      </x:c>
      <x:c r="E209" s="20" t="str">
        <x:f>'Knowledge'!K209</x:f>
        <x:v>Not Started 未学</x:v>
      </x:c>
      <x:c r="F209" s="23" t="str">
        <x:f>IF('Knowledge'!M209="","",'Knowledge'!M209)</x:f>
      </x:c>
      <x:c r="G209" s="20" t="str">
        <x:f>IF(F209="","",F209-TODAY())</x:f>
      </x:c>
      <x:c r="H209" s="20" t="str">
        <x:f>IF(F209="","",IF(E209="Mastered 已掌握","30-day recall",IF(G209&lt;=0,"Review today",IF(G209&lt;=3,"Upcoming","Scheduled"))))</x:f>
      </x:c>
    </x:row>
    <x:row r="210">
      <x:c r="A210" s="21" t="str">
        <x:f>'Knowledge'!A210</x:f>
        <x:v>KP-209</x:v>
      </x:c>
      <x:c r="B210" s="21" t="str">
        <x:f>'Knowledge'!G210</x:f>
        <x:v>净正向价值</x:v>
      </x:c>
      <x:c r="C210" s="21" t="str">
        <x:f>'Knowledge'!H210</x:f>
        <x:v>Net-positive Value</x:v>
      </x:c>
      <x:c r="D210" s="21" t="str">
        <x:f>'Knowledge'!E210</x:f>
        <x:v>🟠 高频 High Frequency</x:v>
      </x:c>
      <x:c r="E210" s="21" t="str">
        <x:f>'Knowledge'!K210</x:f>
        <x:v>Not Started 未学</x:v>
      </x:c>
      <x:c r="F210" s="24" t="str">
        <x:f>IF('Knowledge'!M210="","",'Knowledge'!M210)</x:f>
      </x:c>
      <x:c r="G210" s="21" t="str">
        <x:f>IF(F210="","",F210-TODAY())</x:f>
      </x:c>
      <x:c r="H210" s="21" t="str">
        <x:f>IF(F210="","",IF(E210="Mastered 已掌握","30-day recall",IF(G210&lt;=0,"Review today",IF(G210&lt;=3,"Upcoming","Scheduled"))))</x:f>
      </x:c>
    </x:row>
  </x:sheetData>
  <x:conditionalFormatting sqref="G2:G210">
    <x:cfRule type="cellIs" dxfId="5" priority="1" operator="lessThanOr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b2f8fd0a9c4b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60" hidden="0" customWidth="1"/>
    <x:col min="7" max="7" width="32" hidden="0" customWidth="1"/>
  </x:cols>
  <x:sheetData>
    <x:row r="1" ht="30" customHeight="1">
      <x:c r="A1" s="12" t="str">
        <x:v>Question ID</x:v>
      </x:c>
      <x:c r="B1" s="13" t="str">
        <x:v>Domain</x:v>
      </x:c>
      <x:c r="C1" s="13" t="str">
        <x:v>Task</x:v>
      </x:c>
      <x:c r="D1" s="13" t="str">
        <x:v>Approach</x:v>
      </x:c>
      <x:c r="E1" s="13" t="str">
        <x:v>Difficulty</x:v>
      </x:c>
      <x:c r="F1" s="13" t="str">
        <x:v>Stem Preview</x:v>
      </x:c>
      <x:c r="G1" s="14" t="str">
        <x:v>Primary Trap</x:v>
      </x:c>
    </x:row>
    <x:row r="2">
      <x:c r="A2" s="19" t="str">
        <x:v>KP-FOUND-001</x:v>
      </x:c>
      <x:c r="B2" s="19" t="str">
        <x:v>Foundation</x:v>
      </x:c>
      <x:c r="C2" s="19" t="str">
        <x:v>F</x:v>
      </x:c>
      <x:c r="D2" s="19" t="str">
        <x:v>All</x:v>
      </x:c>
      <x:c r="E2" s="19" t="str">
        <x:v>中</x:v>
      </x:c>
      <x:c r="F2" s="28" t="str">
        <x:v>某物流公司在三周节庆期间每天按同一流程分拣包裹，节后取消夜班。这项夜班安排最准确的分类是什么？</x:v>
      </x:c>
      <x:c r="G2" s="28" t="str">
        <x:v>Temporary ≠ Project</x:v>
      </x:c>
    </x:row>
    <x:row r="3">
      <x:c r="A3" s="20" t="str">
        <x:v>KP-FOUND-002</x:v>
      </x:c>
      <x:c r="B3" s="20" t="str">
        <x:v>Foundation</x:v>
      </x:c>
      <x:c r="C3" s="20" t="str">
        <x:v>F</x:v>
      </x:c>
      <x:c r="D3" s="20" t="str">
        <x:v>All</x:v>
      </x:c>
      <x:c r="E3" s="20" t="str">
        <x:v>易</x:v>
      </x:c>
      <x:c r="F3" s="29" t="str">
        <x:v>企业决定在六个月内设计并部署新的仓储机器人系统，完成验收后交给运营团队维护。这段‘设计并部署’是什么？</x:v>
      </x:c>
      <x:c r="G3" s="29" t="str">
        <x:v>把长期使用误判为运营</x:v>
      </x:c>
    </x:row>
    <x:row r="4">
      <x:c r="A4" s="20" t="str">
        <x:v>KP-FOUND-003</x:v>
      </x:c>
      <x:c r="B4" s="20" t="str">
        <x:v>Foundation</x:v>
      </x:c>
      <x:c r="C4" s="20" t="str">
        <x:v>F</x:v>
      </x:c>
      <x:c r="D4" s="20" t="str">
        <x:v>All</x:v>
      </x:c>
      <x:c r="E4" s="20" t="str">
        <x:v>中</x:v>
      </x:c>
      <x:c r="F4" s="29" t="str">
        <x:v>公司每年为不同城市举办一次新品发布会。哪项最准确？</x:v>
      </x:c>
      <x:c r="G4" s="29" t="str">
        <x:v>重复 ≠ 运营</x:v>
      </x:c>
    </x:row>
    <x:row r="5">
      <x:c r="A5" s="20" t="str">
        <x:v>KP-FOUND-004</x:v>
      </x:c>
      <x:c r="B5" s="20" t="str">
        <x:v>Foundation</x:v>
      </x:c>
      <x:c r="C5" s="20" t="str">
        <x:v>F</x:v>
      </x:c>
      <x:c r="D5" s="20" t="str">
        <x:v>All</x:v>
      </x:c>
      <x:c r="E5" s="20" t="str">
        <x:v>中</x:v>
      </x:c>
      <x:c r="F5" s="29" t="str">
        <x:v>软件按期上线且未超预算，但用户采用率仅为计划的 10%。最合理的判断是？</x:v>
      </x:c>
      <x:c r="G5" s="29" t="str">
        <x:v>Deliverable ≠ Outcome ≠ Benefit</x:v>
      </x:c>
    </x:row>
    <x:row r="6">
      <x:c r="A6" s="20" t="str">
        <x:v>KP-FOUND-005</x:v>
      </x:c>
      <x:c r="B6" s="20" t="str">
        <x:v>Process</x:v>
      </x:c>
      <x:c r="C6" s="20" t="str">
        <x:v>PR1</x:v>
      </x:c>
      <x:c r="D6" s="20" t="str">
        <x:v>Hybrid</x:v>
      </x:c>
      <x:c r="E6" s="20" t="str">
        <x:v>中</x:v>
      </x:c>
      <x:c r="F6" s="29" t="str">
        <x:v>监管文档要求稳定，但产品界面需求需每两周接受用户反馈。最合适的总体方法是？</x:v>
      </x:c>
      <x:c r="G6" s="29" t="str">
        <x:v>Hybrid 不是机械各半</x:v>
      </x:c>
    </x:row>
    <x:row r="7">
      <x:c r="A7" s="20" t="str">
        <x:v>KP-RISK-001</x:v>
      </x:c>
      <x:c r="B7" s="20" t="str">
        <x:v>Business Environment</x:v>
      </x:c>
      <x:c r="C7" s="20" t="str">
        <x:v>BE4/BE5</x:v>
      </x:c>
      <x:c r="D7" s="20" t="str">
        <x:v>All</x:v>
      </x:c>
      <x:c r="E7" s="20" t="str">
        <x:v>中</x:v>
      </x:c>
      <x:c r="F7" s="29" t="str">
        <x:v>风险登记册中记录的供应商停产触发条件今天已经发生。PM 下一步最应做什么？</x:v>
      </x:c>
      <x:c r="G7" s="29" t="str">
        <x:v>Risk 与 Issue 时间状态</x:v>
      </x:c>
    </x:row>
    <x:row r="8">
      <x:c r="A8" s="20" t="str">
        <x:v>KP-RISK-002</x:v>
      </x:c>
      <x:c r="B8" s="20" t="str">
        <x:v>Business Environment</x:v>
      </x:c>
      <x:c r="C8" s="20" t="str">
        <x:v>BE5</x:v>
      </x:c>
      <x:c r="D8" s="20" t="str">
        <x:v>Predictive</x:v>
      </x:c>
      <x:c r="E8" s="20" t="str">
        <x:v>易</x:v>
      </x:c>
      <x:c r="F8" s="29" t="str">
        <x:v>团队购买保险以应对设备损坏。哪项最准确？</x:v>
      </x:c>
      <x:c r="G8" s="29" t="str">
        <x:v>Transfer ≠ Eliminate</x:v>
      </x:c>
    </x:row>
    <x:row r="9">
      <x:c r="A9" s="20" t="str">
        <x:v>KP-RISK-003</x:v>
      </x:c>
      <x:c r="B9" s="20" t="str">
        <x:v>Business Environment</x:v>
      </x:c>
      <x:c r="C9" s="20" t="str">
        <x:v>BE5</x:v>
      </x:c>
      <x:c r="D9" s="20" t="str">
        <x:v>All</x:v>
      </x:c>
      <x:c r="E9" s="20" t="str">
        <x:v>中</x:v>
      </x:c>
      <x:c r="F9" s="29" t="str">
        <x:v>为降低网络攻击风险，团队启用多因素认证；因此部分用户可能流失。用户流失属于什么？</x:v>
      </x:c>
      <x:c r="G9" s="29" t="str">
        <x:v>Secondary vs Residual</x:v>
      </x:c>
    </x:row>
    <x:row r="10">
      <x:c r="A10" s="20" t="str">
        <x:v>KP-RISK-004</x:v>
      </x:c>
      <x:c r="B10" s="20" t="str">
        <x:v>Business Environment</x:v>
      </x:c>
      <x:c r="C10" s="20" t="str">
        <x:v>BE4</x:v>
      </x:c>
      <x:c r="D10" s="20" t="str">
        <x:v>All</x:v>
      </x:c>
      <x:c r="E10" s="20" t="str">
        <x:v>中</x:v>
      </x:c>
      <x:c r="F10" s="29" t="str">
        <x:v>一个从未识别的关键接口故障已经造成停机。没有预案。PM 应把临时修复措施称为什么？</x:v>
      </x:c>
      <x:c r="G10" s="29" t="str">
        <x:v>预案与权变</x:v>
      </x:c>
    </x:row>
    <x:row r="11">
      <x:c r="A11" s="20" t="str">
        <x:v>KP-RISK-005</x:v>
      </x:c>
      <x:c r="B11" s="20" t="str">
        <x:v>Business Environment</x:v>
      </x:c>
      <x:c r="C11" s="20" t="str">
        <x:v>BE5</x:v>
      </x:c>
      <x:c r="D11" s="20" t="str">
        <x:v>All</x:v>
      </x:c>
      <x:c r="E11" s="20" t="str">
        <x:v>中</x:v>
      </x:c>
      <x:c r="F11" s="29" t="str">
        <x:v>一个威胁超出项目权限并由企业安全委员会拥有。PM 最适合采用哪种策略？</x:v>
      </x:c>
      <x:c r="G11" s="29" t="str">
        <x:v>升级不是甩手</x:v>
      </x:c>
    </x:row>
    <x:row r="12">
      <x:c r="A12" s="20" t="str">
        <x:v>KP-CHANGE-001</x:v>
      </x:c>
      <x:c r="B12" s="20" t="str">
        <x:v>Business Environment</x:v>
      </x:c>
      <x:c r="C12" s="20" t="str">
        <x:v>BE3</x:v>
      </x:c>
      <x:c r="D12" s="20" t="str">
        <x:v>Predictive</x:v>
      </x:c>
      <x:c r="E12" s="20" t="str">
        <x:v>易</x:v>
      </x:c>
      <x:c r="F12" s="29" t="str">
        <x:v>预测型项目中，客户提出‘只改一个小字段’。PM first 应做什么？</x:v>
      </x:c>
      <x:c r="G12" s="29" t="str">
        <x:v>小变更也需控制</x:v>
      </x:c>
    </x:row>
    <x:row r="13">
      <x:c r="A13" s="20" t="str">
        <x:v>KP-CHANGE-002</x:v>
      </x:c>
      <x:c r="B13" s="20" t="str">
        <x:v>Business Environment</x:v>
      </x:c>
      <x:c r="C13" s="20" t="str">
        <x:v>BE3</x:v>
      </x:c>
      <x:c r="D13" s="20" t="str">
        <x:v>Predictive</x:v>
      </x:c>
      <x:c r="E13" s="20" t="str">
        <x:v>中</x:v>
      </x:c>
      <x:c r="F13" s="29" t="str">
        <x:v>变更已由有权限机构批准。PM 下一步最合适的是？</x:v>
      </x:c>
      <x:c r="G13" s="29" t="str">
        <x:v>批准 ≠ 自动实施完成</x:v>
      </x:c>
    </x:row>
    <x:row r="14">
      <x:c r="A14" s="20" t="str">
        <x:v>KP-CHANGE-003</x:v>
      </x:c>
      <x:c r="B14" s="20" t="str">
        <x:v>Business Environment</x:v>
      </x:c>
      <x:c r="C14" s="20" t="str">
        <x:v>BE3</x:v>
      </x:c>
      <x:c r="D14" s="20" t="str">
        <x:v>Agile</x:v>
      </x:c>
      <x:c r="E14" s="20" t="str">
        <x:v>中</x:v>
      </x:c>
      <x:c r="F14" s="29" t="str">
        <x:v>Sprint 第三天，一名高管要求加入新报表。团队判断它不影响当前 Sprint Goal。应怎么做？</x:v>
      </x:c>
      <x:c r="G14" s="29" t="str">
        <x:v>预测型变更流程套敏捷</x:v>
      </x:c>
    </x:row>
    <x:row r="15">
      <x:c r="A15" s="20" t="str">
        <x:v>KP-CHANGE-004</x:v>
      </x:c>
      <x:c r="B15" s="20" t="str">
        <x:v>Process</x:v>
      </x:c>
      <x:c r="C15" s="20" t="str">
        <x:v>PR3</x:v>
      </x:c>
      <x:c r="D15" s="20" t="str">
        <x:v>All</x:v>
      </x:c>
      <x:c r="E15" s="20" t="str">
        <x:v>中</x:v>
      </x:c>
      <x:c r="F15" s="29" t="str">
        <x:v>客户希望下月开始获得收益，而完整产品还需八个月。最佳做法是？</x:v>
      </x:c>
      <x:c r="G15" s="29" t="str">
        <x:v>增量不是半成品</x:v>
      </x:c>
    </x:row>
    <x:row r="16">
      <x:c r="A16" s="20" t="str">
        <x:v>KP-CHANGE-005</x:v>
      </x:c>
      <x:c r="B16" s="20" t="str">
        <x:v>Process</x:v>
      </x:c>
      <x:c r="C16" s="20" t="str">
        <x:v>PR3</x:v>
      </x:c>
      <x:c r="D16" s="20" t="str">
        <x:v>Agile</x:v>
      </x:c>
      <x:c r="E16" s="20" t="str">
        <x:v>易</x:v>
      </x:c>
      <x:c r="F16" s="29" t="str">
        <x:v>下列哪项最符合 MVP？</x:v>
      </x:c>
      <x:c r="G16" s="29" t="str">
        <x:v>MVP ≠ 最低质量</x:v>
      </x:c>
    </x:row>
    <x:row r="17">
      <x:c r="A17" s="20" t="str">
        <x:v>KP-AGILE-001</x:v>
      </x:c>
      <x:c r="B17" s="20" t="str">
        <x:v>Agile</x:v>
      </x:c>
      <x:c r="C17" s="20" t="str">
        <x:v>Cross-cutting</x:v>
      </x:c>
      <x:c r="D17" s="20" t="str">
        <x:v>Agile</x:v>
      </x:c>
      <x:c r="E17" s="20" t="str">
        <x:v>中</x:v>
      </x:c>
      <x:c r="F17" s="29" t="str">
        <x:v>Daily Scrum 中，Scrum Master 正在逐人分配当天任务。最主要的问题是什么？</x:v>
      </x:c>
      <x:c r="G17" s="29" t="str">
        <x:v>Servant Leadership 不是指挥控制</x:v>
      </x:c>
    </x:row>
    <x:row r="18">
      <x:c r="A18" s="20" t="str">
        <x:v>KP-AGILE-002</x:v>
      </x:c>
      <x:c r="B18" s="20" t="str">
        <x:v>Agile</x:v>
      </x:c>
      <x:c r="C18" s="20" t="str">
        <x:v>Cross-cutting</x:v>
      </x:c>
      <x:c r="D18" s="20" t="str">
        <x:v>Agile</x:v>
      </x:c>
      <x:c r="E18" s="20" t="str">
        <x:v>中</x:v>
      </x:c>
      <x:c r="F18" s="29" t="str">
        <x:v>一个条目满足自己的 Acceptance Criteria，但自动化安全扫描未达到团队 DoD。它是什么状态？</x:v>
      </x:c>
      <x:c r="G18" s="29" t="str">
        <x:v>AC vs DoD</x:v>
      </x:c>
    </x:row>
    <x:row r="19">
      <x:c r="A19" s="20" t="str">
        <x:v>KP-AGILE-003</x:v>
      </x:c>
      <x:c r="B19" s="20" t="str">
        <x:v>Agile</x:v>
      </x:c>
      <x:c r="C19" s="20" t="str">
        <x:v>Cross-cutting</x:v>
      </x:c>
      <x:c r="D19" s="20" t="str">
        <x:v>Agile</x:v>
      </x:c>
      <x:c r="E19" s="20" t="str">
        <x:v>易</x:v>
      </x:c>
      <x:c r="F19" s="29" t="str">
        <x:v>哪一事件主要检查产品成果、外部变化并与干系人调整 Product Backlog？</x:v>
      </x:c>
      <x:c r="G19" s="29" t="str">
        <x:v>Review vs Retro</x:v>
      </x:c>
    </x:row>
    <x:row r="20">
      <x:c r="A20" s="20" t="str">
        <x:v>KP-AGILE-004</x:v>
      </x:c>
      <x:c r="B20" s="20" t="str">
        <x:v>Agile</x:v>
      </x:c>
      <x:c r="C20" s="20" t="str">
        <x:v>Cross-cutting</x:v>
      </x:c>
      <x:c r="D20" s="20" t="str">
        <x:v>Agile</x:v>
      </x:c>
      <x:c r="E20" s="20" t="str">
        <x:v>中</x:v>
      </x:c>
      <x:c r="F20" s="29" t="str">
        <x:v>团队把 WIP Limit 设为 3，当前已有 3 个条目进行中。最符合 Kanban 的动作是？</x:v>
      </x:c>
      <x:c r="G20" s="29" t="str">
        <x:v>忙碌不等于流动</x:v>
      </x:c>
    </x:row>
    <x:row r="21">
      <x:c r="A21" s="20" t="str">
        <x:v>KP-AGILE-005</x:v>
      </x:c>
      <x:c r="B21" s="20" t="str">
        <x:v>Agile</x:v>
      </x:c>
      <x:c r="C21" s="20" t="str">
        <x:v>Cross-cutting</x:v>
      </x:c>
      <x:c r="D21" s="20" t="str">
        <x:v>Agile</x:v>
      </x:c>
      <x:c r="E21" s="20" t="str">
        <x:v>中</x:v>
      </x:c>
      <x:c r="F21" s="29" t="str">
        <x:v>管理层想用不同团队的 Story Point 比较绩效。PM 应如何回应？</x:v>
      </x:c>
      <x:c r="G21" s="29" t="str">
        <x:v>Story Points ≠ hours/KPI</x:v>
      </x:c>
    </x:row>
    <x:row r="22">
      <x:c r="A22" s="20" t="str">
        <x:v>KP-EVM-001</x:v>
      </x:c>
      <x:c r="B22" s="20" t="str">
        <x:v>Process</x:v>
      </x:c>
      <x:c r="C22" s="20" t="str">
        <x:v>PR6</x:v>
      </x:c>
      <x:c r="D22" s="20" t="str">
        <x:v>Predictive</x:v>
      </x:c>
      <x:c r="E22" s="20" t="str">
        <x:v>易</x:v>
      </x:c>
      <x:c r="F22" s="29" t="str">
        <x:v>状态日 PV=90、EV=80、AC=100。哪项正确？</x:v>
      </x:c>
      <x:c r="G22" s="29" t="str">
        <x:v>EV 必须做分子/被减数</x:v>
      </x:c>
    </x:row>
    <x:row r="23">
      <x:c r="A23" s="20" t="str">
        <x:v>KP-EVM-002</x:v>
      </x:c>
      <x:c r="B23" s="20" t="str">
        <x:v>Process</x:v>
      </x:c>
      <x:c r="C23" s="20" t="str">
        <x:v>PR8</x:v>
      </x:c>
      <x:c r="D23" s="20" t="str">
        <x:v>Predictive</x:v>
      </x:c>
      <x:c r="E23" s="20" t="str">
        <x:v>中</x:v>
      </x:c>
      <x:c r="F23" s="29" t="str">
        <x:v>项目必须缩短两周，且不得增加预算。PM first 应检查什么？</x:v>
      </x:c>
      <x:c r="G23" s="29" t="str">
        <x:v>先找关键路径</x:v>
      </x:c>
    </x:row>
    <x:row r="24">
      <x:c r="A24" s="20" t="str">
        <x:v>KP-EVM-003</x:v>
      </x:c>
      <x:c r="B24" s="20" t="str">
        <x:v>Process</x:v>
      </x:c>
      <x:c r="C24" s="20" t="str">
        <x:v>PR4</x:v>
      </x:c>
      <x:c r="D24" s="20" t="str">
        <x:v>Predictive</x:v>
      </x:c>
      <x:c r="E24" s="20" t="str">
        <x:v>中</x:v>
      </x:c>
      <x:c r="F24" s="29" t="str">
        <x:v>一个资源在两项关键活动间冲突，且没有可用浮动。使用 Resource Leveling 最可能怎样？</x:v>
      </x:c>
      <x:c r="G24" s="29" t="str">
        <x:v>Leveling vs Smoothing</x:v>
      </x:c>
    </x:row>
    <x:row r="25">
      <x:c r="A25" s="20" t="str">
        <x:v>KP-EVM-004</x:v>
      </x:c>
      <x:c r="B25" s="20" t="str">
        <x:v>Process</x:v>
      </x:c>
      <x:c r="C25" s="20" t="str">
        <x:v>PR6</x:v>
      </x:c>
      <x:c r="D25" s="20" t="str">
        <x:v>Predictive</x:v>
      </x:c>
      <x:c r="E25" s="20" t="str">
        <x:v>中</x:v>
      </x:c>
      <x:c r="F25" s="29" t="str">
        <x:v>BAC=200，EV=100，AC=125；假设当前成本效率会持续，EAC 最合适为？</x:v>
      </x:c>
      <x:c r="G25" s="29" t="str">
        <x:v>先说明偏差持续假设</x:v>
      </x:c>
    </x:row>
    <x:row r="26">
      <x:c r="A26" s="20" t="str">
        <x:v>KP-EVM-005</x:v>
      </x:c>
      <x:c r="B26" s="20" t="str">
        <x:v>Process</x:v>
      </x:c>
      <x:c r="C26" s="20" t="str">
        <x:v>PR8</x:v>
      </x:c>
      <x:c r="D26" s="20" t="str">
        <x:v>Predictive</x:v>
      </x:c>
      <x:c r="E26" s="20" t="str">
        <x:v>易</x:v>
      </x:c>
      <x:c r="F26" s="29" t="str">
        <x:v>哪项关于关键路径最准确？</x:v>
      </x:c>
      <x:c r="G26" s="29" t="str">
        <x:v>单活动 vs 路径</x:v>
      </x:c>
    </x:row>
    <x:row r="27">
      <x:c r="A27" s="20" t="str">
        <x:v>KP-FUT-001</x:v>
      </x:c>
      <x:c r="B27" s="20" t="str">
        <x:v>AI</x:v>
      </x:c>
      <x:c r="C27" s="20" t="str">
        <x:v>Cross-cutting</x:v>
      </x:c>
      <x:c r="D27" s="20" t="str">
        <x:v>All</x:v>
      </x:c>
      <x:c r="E27" s="20" t="str">
        <x:v>中</x:v>
      </x:c>
      <x:c r="F27" s="29" t="str">
        <x:v>团队想把客户投诉原文上传到未批准的公共 AI 工具做分类。PM first 应做什么？</x:v>
      </x:c>
      <x:c r="G27" s="29" t="str">
        <x:v>便利不能绕过数据治理</x:v>
      </x:c>
    </x:row>
    <x:row r="28">
      <x:c r="A28" s="20" t="str">
        <x:v>KP-FUT-002</x:v>
      </x:c>
      <x:c r="B28" s="20" t="str">
        <x:v>AI</x:v>
      </x:c>
      <x:c r="C28" s="20" t="str">
        <x:v>Cross-cutting</x:v>
      </x:c>
      <x:c r="D28" s="20" t="str">
        <x:v>All</x:v>
      </x:c>
      <x:c r="E28" s="20" t="str">
        <x:v>中</x:v>
      </x:c>
      <x:c r="F28" s="29" t="str">
        <x:v>AI 建议删除两个质量检查点以缩短进度。最佳做法是？</x:v>
      </x:c>
      <x:c r="G28" s="29" t="str">
        <x:v>Human oversight</x:v>
      </x:c>
    </x:row>
    <x:row r="29">
      <x:c r="A29" s="20" t="str">
        <x:v>KP-FUT-003</x:v>
      </x:c>
      <x:c r="B29" s="20" t="str">
        <x:v>AI</x:v>
      </x:c>
      <x:c r="C29" s="20" t="str">
        <x:v>Cross-cutting</x:v>
      </x:c>
      <x:c r="D29" s="20" t="str">
        <x:v>All</x:v>
      </x:c>
      <x:c r="E29" s="20" t="str">
        <x:v>中</x:v>
      </x:c>
      <x:c r="F29" s="29" t="str">
        <x:v>供应商模型整体准确率高，但对少数语言用户错误率明显更高。项目经理应关注什么？</x:v>
      </x:c>
      <x:c r="G29" s="29" t="str">
        <x:v>平均值掩盖偏差</x:v>
      </x:c>
    </x:row>
    <x:row r="30">
      <x:c r="A30" s="20" t="str">
        <x:v>KP-FUT-004</x:v>
      </x:c>
      <x:c r="B30" s="20" t="str">
        <x:v>Sustainability</x:v>
      </x:c>
      <x:c r="C30" s="20" t="str">
        <x:v>Cross-cutting</x:v>
      </x:c>
      <x:c r="D30" s="20" t="str">
        <x:v>All</x:v>
      </x:c>
      <x:c r="E30" s="20" t="str">
        <x:v>中</x:v>
      </x:c>
      <x:c r="F30" s="29" t="str">
        <x:v>两种材料初始价格不同：便宜材料在十年运营期能耗和更换频率更高。最佳比较方式是？</x:v>
      </x:c>
      <x:c r="G30" s="29" t="str">
        <x:v>Lowest price vs Best value</x:v>
      </x:c>
    </x:row>
    <x:row r="31">
      <x:c r="A31" s="20" t="str">
        <x:v>KP-FUT-005</x:v>
      </x:c>
      <x:c r="B31" s="20" t="str">
        <x:v>Sustainability</x:v>
      </x:c>
      <x:c r="C31" s="20" t="str">
        <x:v>Cross-cutting</x:v>
      </x:c>
      <x:c r="D31" s="20" t="str">
        <x:v>All</x:v>
      </x:c>
      <x:c r="E31" s="20" t="str">
        <x:v>中</x:v>
      </x:c>
      <x:c r="F31" s="29" t="str">
        <x:v>项目宣称‘碳中和’，但没有说明组织边界、基线、数据来源和抵消方式。主要问题是？</x:v>
      </x:c>
      <x:c r="G31" s="29" t="str">
        <x:v>Greenwashing</x:v>
      </x:c>
    </x:row>
    <x:row r="32">
      <x:c r="A32" s="20" t="str">
        <x:v>CH-PEO-001</x:v>
      </x:c>
      <x:c r="B32" s="20" t="str">
        <x:v>People</x:v>
      </x:c>
      <x:c r="C32" s="20" t="str">
        <x:v>P4/P8</x:v>
      </x:c>
      <x:c r="D32" s="20" t="str">
        <x:v>All</x:v>
      </x:c>
      <x:c r="E32" s="20" t="str">
        <x:v>中</x:v>
      </x:c>
      <x:c r="F32" s="29" t="str">
        <x:v>虚拟团队成员因时区问题经常错过决定，并开始抵触项目。PM first 应做什么？</x:v>
      </x:c>
      <x:c r="G32" s="29" t="str">
        <x:v>先协作再升级</x:v>
      </x:c>
    </x:row>
    <x:row r="33">
      <x:c r="A33" s="20" t="str">
        <x:v>CH-PEO-002</x:v>
      </x:c>
      <x:c r="B33" s="20" t="str">
        <x:v>People</x:v>
      </x:c>
      <x:c r="C33" s="20" t="str">
        <x:v>P1/P2</x:v>
      </x:c>
      <x:c r="D33" s="20" t="str">
        <x:v>All</x:v>
      </x:c>
      <x:c r="E33" s="20" t="str">
        <x:v>中</x:v>
      </x:c>
      <x:c r="F33" s="29" t="str">
        <x:v>两位负责人对优先级冲突，双方都有合理数据。最佳长期做法是？</x:v>
      </x:c>
      <x:c r="G33" s="29" t="str">
        <x:v>Collaborate</x:v>
      </x:c>
    </x:row>
    <x:row r="34">
      <x:c r="A34" s="20" t="str">
        <x:v>CH-PEO-003</x:v>
      </x:c>
      <x:c r="B34" s="20" t="str">
        <x:v>People</x:v>
      </x:c>
      <x:c r="C34" s="20" t="str">
        <x:v>P3/P7</x:v>
      </x:c>
      <x:c r="D34" s="20" t="str">
        <x:v>All</x:v>
      </x:c>
      <x:c r="E34" s="20" t="str">
        <x:v>中</x:v>
      </x:c>
      <x:c r="F34" s="29" t="str">
        <x:v>新成员缺少关键技能但学习意愿高。PM 最合适的领导反应是？</x:v>
      </x:c>
      <x:c r="G34" s="29" t="str">
        <x:v>Empower ≠ abandon</x:v>
      </x:c>
    </x:row>
    <x:row r="35">
      <x:c r="A35" s="20" t="str">
        <x:v>CH-PEO-004</x:v>
      </x:c>
      <x:c r="B35" s="20" t="str">
        <x:v>People</x:v>
      </x:c>
      <x:c r="C35" s="20" t="str">
        <x:v>P1/P5/P6</x:v>
      </x:c>
      <x:c r="D35" s="20" t="str">
        <x:v>All</x:v>
      </x:c>
      <x:c r="E35" s="20" t="str">
        <x:v>中</x:v>
      </x:c>
      <x:c r="F35" s="29" t="str">
        <x:v>发起人与客户对成功含义不同。PM first 应？</x:v>
      </x:c>
      <x:c r="G35" s="29" t="str">
        <x:v>不能单边承诺</x:v>
      </x:c>
    </x:row>
    <x:row r="36">
      <x:c r="A36" s="20" t="str">
        <x:v>CH-PEO-005</x:v>
      </x:c>
      <x:c r="B36" s="20" t="str">
        <x:v>People</x:v>
      </x:c>
      <x:c r="C36" s="20" t="str">
        <x:v>P7</x:v>
      </x:c>
      <x:c r="D36" s="20" t="str">
        <x:v>All</x:v>
      </x:c>
      <x:c r="E36" s="20" t="str">
        <x:v>中</x:v>
      </x:c>
      <x:c r="F36" s="29" t="str">
        <x:v>项目即将移交，唯一架构师掌握未记录的关键知识。最佳措施是？</x:v>
      </x:c>
      <x:c r="G36" s="29" t="str">
        <x:v>上传文件 ≠ 转移完成</x:v>
      </x:c>
    </x:row>
    <x:row r="37">
      <x:c r="A37" s="20" t="str">
        <x:v>CH-PEO-006</x:v>
      </x:c>
      <x:c r="B37" s="20" t="str">
        <x:v>People</x:v>
      </x:c>
      <x:c r="C37" s="20" t="str">
        <x:v>P3</x:v>
      </x:c>
      <x:c r="D37" s="20" t="str">
        <x:v>Agile</x:v>
      </x:c>
      <x:c r="E37" s="20" t="str">
        <x:v>中</x:v>
      </x:c>
      <x:c r="F37" s="29" t="str">
        <x:v>团队成员在回顾会上指出估算流程问题，主管当众责备他。PM 应优先保护什么？</x:v>
      </x:c>
      <x:c r="G37" s="29" t="str">
        <x:v>不把回顾变成追责</x:v>
      </x:c>
    </x:row>
    <x:row r="38">
      <x:c r="A38" s="20" t="str">
        <x:v>CH-PRO-001</x:v>
      </x:c>
      <x:c r="B38" s="20" t="str">
        <x:v>Process</x:v>
      </x:c>
      <x:c r="C38" s="20" t="str">
        <x:v>PR2/PR7</x:v>
      </x:c>
      <x:c r="D38" s="20" t="str">
        <x:v>Predictive</x:v>
      </x:c>
      <x:c r="E38" s="20" t="str">
        <x:v>中</x:v>
      </x:c>
      <x:c r="F38" s="29" t="str">
        <x:v>客户正式拒收一个技术检验合格的交付物，因为未满足约定业务验收条件。说明什么？</x:v>
      </x:c>
      <x:c r="G38" s="29" t="str">
        <x:v>QC vs Validate Scope</x:v>
      </x:c>
    </x:row>
    <x:row r="39">
      <x:c r="A39" s="20" t="str">
        <x:v>CH-PRO-002</x:v>
      </x:c>
      <x:c r="B39" s="20" t="str">
        <x:v>Process</x:v>
      </x:c>
      <x:c r="C39" s="20" t="str">
        <x:v>PR8</x:v>
      </x:c>
      <x:c r="D39" s="20" t="str">
        <x:v>Predictive</x:v>
      </x:c>
      <x:c r="E39" s="20" t="str">
        <x:v>易</x:v>
      </x:c>
      <x:c r="F39" s="29" t="str">
        <x:v>关键路径活动延迟三天，总浮动为零。最直接影响是什么？</x:v>
      </x:c>
      <x:c r="G39" s="29" t="str">
        <x:v>关键路径</x:v>
      </x:c>
    </x:row>
    <x:row r="40">
      <x:c r="A40" s="20" t="str">
        <x:v>CH-PRO-003</x:v>
      </x:c>
      <x:c r="B40" s="20" t="str">
        <x:v>Process</x:v>
      </x:c>
      <x:c r="C40" s="20" t="str">
        <x:v>PR9</x:v>
      </x:c>
      <x:c r="D40" s="20" t="str">
        <x:v>Agile</x:v>
      </x:c>
      <x:c r="E40" s="20" t="str">
        <x:v>中</x:v>
      </x:c>
      <x:c r="F40" s="29" t="str">
        <x:v>团队为了提高完成条目数，拆小 Story 并降低 DoD。哪个指标最可能被游戏化？</x:v>
      </x:c>
      <x:c r="G40" s="29" t="str">
        <x:v>指标成为目标</x:v>
      </x:c>
    </x:row>
    <x:row r="41">
      <x:c r="A41" s="20" t="str">
        <x:v>CH-PRO-004</x:v>
      </x:c>
      <x:c r="B41" s="20" t="str">
        <x:v>Process</x:v>
      </x:c>
      <x:c r="C41" s="20" t="str">
        <x:v>PR5</x:v>
      </x:c>
      <x:c r="D41" s="20" t="str">
        <x:v>All</x:v>
      </x:c>
      <x:c r="E41" s="20" t="str">
        <x:v>中</x:v>
      </x:c>
      <x:c r="F41" s="29" t="str">
        <x:v>供应商报低价但有严重交付和劳工风险。选择时应？</x:v>
      </x:c>
      <x:c r="G41" s="29" t="str">
        <x:v>最低价偏误</x:v>
      </x:c>
    </x:row>
    <x:row r="42">
      <x:c r="A42" s="20" t="str">
        <x:v>CH-PRO-005</x:v>
      </x:c>
      <x:c r="B42" s="20" t="str">
        <x:v>Process</x:v>
      </x:c>
      <x:c r="C42" s="20" t="str">
        <x:v>PR6</x:v>
      </x:c>
      <x:c r="D42" s="20" t="str">
        <x:v>Predictive</x:v>
      </x:c>
      <x:c r="E42" s="20" t="str">
        <x:v>易</x:v>
      </x:c>
      <x:c r="F42" s="29" t="str">
        <x:v>一个已识别风险发生后使用应急储备。哪项正确？</x:v>
      </x:c>
      <x:c r="G42" s="29" t="str">
        <x:v>两类储备</x:v>
      </x:c>
    </x:row>
    <x:row r="43">
      <x:c r="A43" s="20" t="str">
        <x:v>CH-PRO-006</x:v>
      </x:c>
      <x:c r="B43" s="20" t="str">
        <x:v>Process</x:v>
      </x:c>
      <x:c r="C43" s="20" t="str">
        <x:v>PR1/PR3</x:v>
      </x:c>
      <x:c r="D43" s="20" t="str">
        <x:v>Agile</x:v>
      </x:c>
      <x:c r="E43" s="20" t="str">
        <x:v>中</x:v>
      </x:c>
      <x:c r="F43" s="29" t="str">
        <x:v>开发团队希望用两周 Spike 调研未知技术。PO 应关注什么？</x:v>
      </x:c>
      <x:c r="G43" s="29" t="str">
        <x:v>研究不是无限范围</x:v>
      </x:c>
    </x:row>
    <x:row r="44">
      <x:c r="A44" s="20" t="str">
        <x:v>CH-BE-001</x:v>
      </x:c>
      <x:c r="B44" s="20" t="str">
        <x:v>Business Environment</x:v>
      </x:c>
      <x:c r="C44" s="20" t="str">
        <x:v>BE2/BE3/BE8</x:v>
      </x:c>
      <x:c r="D44" s="20" t="str">
        <x:v>All</x:v>
      </x:c>
      <x:c r="E44" s="20" t="str">
        <x:v>难</x:v>
      </x:c>
      <x:c r="F44" s="29" t="str">
        <x:v>法规更新使当前方案明天起违法。PM first 应？</x:v>
      </x:c>
      <x:c r="G44" s="29" t="str">
        <x:v>合规紧急例外</x:v>
      </x:c>
    </x:row>
    <x:row r="45">
      <x:c r="A45" s="20" t="str">
        <x:v>CH-BE-002</x:v>
      </x:c>
      <x:c r="B45" s="20" t="str">
        <x:v>Business Environment</x:v>
      </x:c>
      <x:c r="C45" s="20" t="str">
        <x:v>BE8</x:v>
      </x:c>
      <x:c r="D45" s="20" t="str">
        <x:v>All</x:v>
      </x:c>
      <x:c r="E45" s="20" t="str">
        <x:v>难</x:v>
      </x:c>
      <x:c r="F45" s="29" t="str">
        <x:v>市场已转向替代技术，项目商业价值大幅下降。治理委员会应获得什么？</x:v>
      </x:c>
      <x:c r="G45" s="29" t="str">
        <x:v>Sunk cost</x:v>
      </x:c>
    </x:row>
    <x:row r="46">
      <x:c r="A46" s="20" t="str">
        <x:v>CH-BE-003</x:v>
      </x:c>
      <x:c r="B46" s="20" t="str">
        <x:v>Business Environment</x:v>
      </x:c>
      <x:c r="C46" s="20" t="str">
        <x:v>BE1/BE3</x:v>
      </x:c>
      <x:c r="D46" s="20" t="str">
        <x:v>Predictive</x:v>
      </x:c>
      <x:c r="E46" s="20" t="str">
        <x:v>中</x:v>
      </x:c>
      <x:c r="F46" s="29" t="str">
        <x:v>项目经理无权批准超过 5% 预算的变更。最合适做法是？</x:v>
      </x:c>
      <x:c r="G46" s="29" t="str">
        <x:v>治理权限</x:v>
      </x:c>
    </x:row>
    <x:row r="47">
      <x:c r="A47" s="20" t="str">
        <x:v>CH-BE-004</x:v>
      </x:c>
      <x:c r="B47" s="20" t="str">
        <x:v>Business Environment</x:v>
      </x:c>
      <x:c r="C47" s="20" t="str">
        <x:v>BE4/BE6</x:v>
      </x:c>
      <x:c r="D47" s="20" t="str">
        <x:v>All</x:v>
      </x:c>
      <x:c r="E47" s="20" t="str">
        <x:v>中</x:v>
      </x:c>
      <x:c r="F47" s="29" t="str">
        <x:v>问题反复发生，团队每次只做临时修复。下一步应强化什么？</x:v>
      </x:c>
      <x:c r="G47" s="29" t="str">
        <x:v>症状 vs 根因</x:v>
      </x:c>
    </x:row>
    <x:row r="48">
      <x:c r="A48" s="20" t="str">
        <x:v>CH-BE-005</x:v>
      </x:c>
      <x:c r="B48" s="20" t="str">
        <x:v>Business Environment</x:v>
      </x:c>
      <x:c r="C48" s="20" t="str">
        <x:v>BE7</x:v>
      </x:c>
      <x:c r="D48" s="20" t="str">
        <x:v>All</x:v>
      </x:c>
      <x:c r="E48" s="20" t="str">
        <x:v>中</x:v>
      </x:c>
      <x:c r="F48" s="29" t="str">
        <x:v>组织发布新流程但采用率低。哪项最有帮助？</x:v>
      </x:c>
      <x:c r="G48" s="29" t="str">
        <x:v>上线 ≠ 采用</x:v>
      </x:c>
    </x:row>
    <x:row r="49">
      <x:c r="A49" s="20" t="str">
        <x:v>CH-BE-006</x:v>
      </x:c>
      <x:c r="B49" s="20" t="str">
        <x:v>Business Environment</x:v>
      </x:c>
      <x:c r="C49" s="20" t="str">
        <x:v>BE5</x:v>
      </x:c>
      <x:c r="D49" s="20" t="str">
        <x:v>All</x:v>
      </x:c>
      <x:c r="E49" s="20" t="str">
        <x:v>易</x:v>
      </x:c>
      <x:c r="F49" s="29" t="str">
        <x:v>风险所有人已离开组织。PM best 应？</x:v>
      </x:c>
      <x:c r="G49" s="29" t="str">
        <x:v>记录必须保持有效</x:v>
      </x:c>
    </x:row>
    <x:row r="50">
      <x:c r="A50" s="20" t="str">
        <x:v>MOCK-A-001</x:v>
      </x:c>
      <x:c r="B50" s="20" t="str">
        <x:v>Process</x:v>
      </x:c>
      <x:c r="C50" s="20" t="str">
        <x:v>PR1/PR5</x:v>
      </x:c>
      <x:c r="D50" s="20" t="str">
        <x:v>Hybrid</x:v>
      </x:c>
      <x:c r="E50" s="20" t="str">
        <x:v>难</x:v>
      </x:c>
      <x:c r="F50" s="29" t="str">
        <x:v>混合项目的硬件供应商延期，软件团队仍可开发模拟接口。PM first 应？</x:v>
      </x:c>
      <x:c r="G50" s="29" t="str">
        <x:v>局部问题需整体分析</x:v>
      </x:c>
    </x:row>
    <x:row r="51">
      <x:c r="A51" s="20" t="str">
        <x:v>MOCK-A-002</x:v>
      </x:c>
      <x:c r="B51" s="20" t="str">
        <x:v>Business Environment</x:v>
      </x:c>
      <x:c r="C51" s="20" t="str">
        <x:v>BE2</x:v>
      </x:c>
      <x:c r="D51" s="20" t="str">
        <x:v>All</x:v>
      </x:c>
      <x:c r="E51" s="20" t="str">
        <x:v>中</x:v>
      </x:c>
      <x:c r="F51" s="29" t="str">
        <x:v>客户要求团队在验收前跳过强制安全测试。PM 应？</x:v>
      </x:c>
      <x:c r="G51" s="29" t="str">
        <x:v>Customer value ≠ ignore compliance</x:v>
      </x:c>
    </x:row>
    <x:row r="52">
      <x:c r="A52" s="20" t="str">
        <x:v>MOCK-A-003</x:v>
      </x:c>
      <x:c r="B52" s="20" t="str">
        <x:v>Agile</x:v>
      </x:c>
      <x:c r="C52" s="20" t="str">
        <x:v>Cross-cutting</x:v>
      </x:c>
      <x:c r="D52" s="20" t="str">
        <x:v>Agile</x:v>
      </x:c>
      <x:c r="E52" s="20" t="str">
        <x:v>难</x:v>
      </x:c>
      <x:c r="F52" s="29" t="str">
        <x:v>团队连续三次 Sprint 未达 Goal，但 Velocity 上升。PM/敏捷领导最应关注？</x:v>
      </x:c>
      <x:c r="G52" s="29" t="str">
        <x:v>Vanity metric</x:v>
      </x:c>
    </x:row>
    <x:row r="53">
      <x:c r="A53" s="20" t="str">
        <x:v>MOCK-A-004</x:v>
      </x:c>
      <x:c r="B53" s="20" t="str">
        <x:v>Business Environment</x:v>
      </x:c>
      <x:c r="C53" s="20" t="str">
        <x:v>BE1</x:v>
      </x:c>
      <x:c r="D53" s="20" t="str">
        <x:v>Predictive</x:v>
      </x:c>
      <x:c r="E53" s="20" t="str">
        <x:v>中</x:v>
      </x:c>
      <x:c r="F53" s="29" t="str">
        <x:v>发起人要求 PM 隐瞒预测超支直到下一季度。PM 应？</x:v>
      </x:c>
      <x:c r="G53" s="29" t="str">
        <x:v>Ethics</x:v>
      </x:c>
    </x:row>
    <x:row r="54">
      <x:c r="A54" s="20" t="str">
        <x:v>MOCK-A-005</x:v>
      </x:c>
      <x:c r="B54" s="20" t="str">
        <x:v>Process</x:v>
      </x:c>
      <x:c r="C54" s="20" t="str">
        <x:v>PR5/PR10</x:v>
      </x:c>
      <x:c r="D54" s="20" t="str">
        <x:v>Predictive</x:v>
      </x:c>
      <x:c r="E54" s="20" t="str">
        <x:v>中</x:v>
      </x:c>
      <x:c r="F54" s="29" t="str">
        <x:v>合同目标已满足，但供应商提出未决索赔。项目可否直接关闭采购？</x:v>
      </x:c>
      <x:c r="G54" s="29" t="str">
        <x:v>交付 ≠ 合同收尾</x:v>
      </x:c>
    </x:row>
    <x:row r="55">
      <x:c r="A55" s="20" t="str">
        <x:v>MOCK-A-006</x:v>
      </x:c>
      <x:c r="B55" s="20" t="str">
        <x:v>AI</x:v>
      </x:c>
      <x:c r="C55" s="20" t="str">
        <x:v>Cross-cutting</x:v>
      </x:c>
      <x:c r="D55" s="20" t="str">
        <x:v>All</x:v>
      </x:c>
      <x:c r="E55" s="20" t="str">
        <x:v>中</x:v>
      </x:c>
      <x:c r="F55" s="29" t="str">
        <x:v>AI 自动生成周报，把未验证预测写成事实。最佳纠正是？</x:v>
      </x:c>
      <x:c r="G55" s="29" t="str">
        <x:v>Prediction ≠ fact</x:v>
      </x:c>
    </x:row>
    <x:row r="56">
      <x:c r="A56" s="20" t="str">
        <x:v>MOCK-A-007</x:v>
      </x:c>
      <x:c r="B56" s="20" t="str">
        <x:v>People</x:v>
      </x:c>
      <x:c r="C56" s="20" t="str">
        <x:v>P4/P5</x:v>
      </x:c>
      <x:c r="D56" s="20" t="str">
        <x:v>All</x:v>
      </x:c>
      <x:c r="E56" s="20" t="str">
        <x:v>中</x:v>
      </x:c>
      <x:c r="F56" s="29" t="str">
        <x:v>一位高权力低兴趣干系人突然反对项目。团队最先查看什么？</x:v>
      </x:c>
      <x:c r="G56" s="29" t="str">
        <x:v>分类会变化</x:v>
      </x:c>
    </x:row>
    <x:row r="57">
      <x:c r="A57" s="20" t="str">
        <x:v>MOCK-A-008</x:v>
      </x:c>
      <x:c r="B57" s="20" t="str">
        <x:v>Business Environment</x:v>
      </x:c>
      <x:c r="C57" s="20" t="str">
        <x:v>BE8</x:v>
      </x:c>
      <x:c r="D57" s="20" t="str">
        <x:v>All</x:v>
      </x:c>
      <x:c r="E57" s="20" t="str">
        <x:v>难</x:v>
      </x:c>
      <x:c r="F57" s="29" t="str">
        <x:v>项目完成 70%，新证据表明预期收益不再成立。最佳做法？</x:v>
      </x:c>
      <x:c r="G57" s="29" t="str">
        <x:v>Sunk cost fallacy</x:v>
      </x:c>
    </x:row>
    <x:row r="58">
      <x:c r="A58" s="20" t="str">
        <x:v>MOCK-A-009</x:v>
      </x:c>
      <x:c r="B58" s="20" t="str">
        <x:v>Process</x:v>
      </x:c>
      <x:c r="C58" s="20" t="str">
        <x:v>PR7</x:v>
      </x:c>
      <x:c r="D58" s="20" t="str">
        <x:v>Predictive</x:v>
      </x:c>
      <x:c r="E58" s="20" t="str">
        <x:v>难</x:v>
      </x:c>
      <x:c r="F58" s="29" t="str">
        <x:v>控制图出现连续七点在中心线同一侧，但仍在控制界限内。应怎样理解？</x:v>
      </x:c>
      <x:c r="G58" s="29" t="str">
        <x:v>Control limit vs specification</x:v>
      </x:c>
    </x:row>
    <x:row r="59">
      <x:c r="A59" s="20" t="str">
        <x:v>MOCK-A-010</x:v>
      </x:c>
      <x:c r="B59" s="20" t="str">
        <x:v>Agile</x:v>
      </x:c>
      <x:c r="C59" s="20" t="str">
        <x:v>Cross-cutting</x:v>
      </x:c>
      <x:c r="D59" s="20" t="str">
        <x:v>Agile</x:v>
      </x:c>
      <x:c r="E59" s="20" t="str">
        <x:v>难</x:v>
      </x:c>
      <x:c r="F59" s="29" t="str">
        <x:v>PO 与监管负责人对功能顺序有冲突。最合适？</x:v>
      </x:c>
      <x:c r="G59" s="29" t="str">
        <x:v>PO 权限有治理边界</x:v>
      </x:c>
    </x:row>
    <x:row r="60">
      <x:c r="A60" s="20" t="str">
        <x:v>MOCK-A-011</x:v>
      </x:c>
      <x:c r="B60" s="20" t="str">
        <x:v>Process</x:v>
      </x:c>
      <x:c r="C60" s="20" t="str">
        <x:v>PR10</x:v>
      </x:c>
      <x:c r="D60" s="20" t="str">
        <x:v>All</x:v>
      </x:c>
      <x:c r="E60" s="20" t="str">
        <x:v>中</x:v>
      </x:c>
      <x:c r="F60" s="29" t="str">
        <x:v>项目移交后运营团队不会处理关键告警。PM 应在关闭前？</x:v>
      </x:c>
      <x:c r="G60" s="29" t="str">
        <x:v>文档 ≠ readiness</x:v>
      </x:c>
    </x:row>
    <x:row r="61">
      <x:c r="A61" s="20" t="str">
        <x:v>MOCK-A-012</x:v>
      </x:c>
      <x:c r="B61" s="20" t="str">
        <x:v>Sustainability</x:v>
      </x:c>
      <x:c r="C61" s="20" t="str">
        <x:v>Cross-cutting</x:v>
      </x:c>
      <x:c r="D61" s="20" t="str">
        <x:v>All</x:v>
      </x:c>
      <x:c r="E61" s="20" t="str">
        <x:v>难</x:v>
      </x:c>
      <x:c r="F61" s="29" t="str">
        <x:v>为达到可持续采购目标，团队选择本地供应商，但其质量能力未经验证。最佳做法？</x:v>
      </x:c>
      <x:c r="G61" s="29" t="str">
        <x:v>Single-metric optimization</x:v>
      </x:c>
    </x:row>
    <x:row r="62">
      <x:c r="A62" s="20" t="str">
        <x:v>MOCK-A-013</x:v>
      </x:c>
      <x:c r="B62" s="20" t="str">
        <x:v>People</x:v>
      </x:c>
      <x:c r="C62" s="20" t="str">
        <x:v>P1/P5</x:v>
      </x:c>
      <x:c r="D62" s="20" t="str">
        <x:v>All</x:v>
      </x:c>
      <x:c r="E62" s="20" t="str">
        <x:v>中</x:v>
      </x:c>
      <x:c r="F62" s="29" t="str">
        <x:v>团队成员发现章程中的成功指标互相矛盾。PM first？</x:v>
      </x:c>
      <x:c r="G62" s="29" t="str">
        <x:v>冲突指标不能拖延</x:v>
      </x:c>
    </x:row>
    <x:row r="63">
      <x:c r="A63" s="20" t="str">
        <x:v>MOCK-A-014</x:v>
      </x:c>
      <x:c r="B63" s="20" t="str">
        <x:v>Agile</x:v>
      </x:c>
      <x:c r="C63" s="20" t="str">
        <x:v>Cross-cutting</x:v>
      </x:c>
      <x:c r="D63" s="20" t="str">
        <x:v>Agile</x:v>
      </x:c>
      <x:c r="E63" s="20" t="str">
        <x:v>中</x:v>
      </x:c>
      <x:c r="F63" s="29" t="str">
        <x:v>Sprint 中关键缺陷威胁 Sprint Goal。Developers 应？</x:v>
      </x:c>
      <x:c r="G63" s="29" t="str">
        <x:v>质量不能隐藏</x:v>
      </x:c>
    </x:row>
    <x:row r="64">
      <x:c r="A64" s="21" t="str">
        <x:v>MOCK-A-015</x:v>
      </x:c>
      <x:c r="B64" s="21" t="str">
        <x:v>Business Environment</x:v>
      </x:c>
      <x:c r="C64" s="21" t="str">
        <x:v>BE2/BE5</x:v>
      </x:c>
      <x:c r="D64" s="21" t="str">
        <x:v>All</x:v>
      </x:c>
      <x:c r="E64" s="21" t="str">
        <x:v>难</x:v>
      </x:c>
      <x:c r="F64" s="30" t="str">
        <x:v>某风险概率低但一旦发生将造成严重人员伤害。仅按概率排序会怎样？</x:v>
      </x:c>
      <x:c r="G64" s="30" t="str">
        <x:v>Probability-only bias</x:v>
      </x:c>
    </x:row>
  </x:sheetData>
  <x:pageMargins left="0.7" right="0.7" top="0.75" bottom="0.75" header="0.3" footer="0.3"/>
  <x:tableParts count="1">
    <x:tablePart xmlns:r="http://schemas.openxmlformats.org/officeDocument/2006/relationships" r:id="R34c4df3bc8b745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1" hidden="0" customWidth="1"/>
    <x:col min="4" max="4" width="21" hidden="0" customWidth="1"/>
    <x:col min="5" max="5" width="21" hidden="0" customWidth="1"/>
    <x:col min="6" max="6" width="65" hidden="0" customWidth="1"/>
  </x:cols>
  <x:sheetData>
    <x:row r="1" ht="30" customHeight="1">
      <x:c r="A1" s="12" t="str">
        <x:v>Case ID</x:v>
      </x:c>
      <x:c r="B1" s="13" t="str">
        <x:v>Title</x:v>
      </x:c>
      <x:c r="C1" s="13" t="str">
        <x:v>Domain</x:v>
      </x:c>
      <x:c r="D1" s="13" t="str">
        <x:v>Approach</x:v>
      </x:c>
      <x:c r="E1" s="13" t="str">
        <x:v>Tags</x:v>
      </x:c>
      <x:c r="F1" s="14" t="str">
        <x:v>Scenario Preview</x:v>
      </x:c>
    </x:row>
    <x:row r="2">
      <x:c r="A2" s="19" t="str">
        <x:v>CASE-PRED-01</x:v>
      </x:c>
      <x:c r="B2" s="19" t="str">
        <x:v>医院影像中心改造</x:v>
      </x:c>
      <x:c r="C2" s="19" t="str">
        <x:v>Process</x:v>
      </x:c>
      <x:c r="D2" s="19" t="str">
        <x:v>Predictive</x:v>
      </x:c>
      <x:c r="E2" s="19" t="str">
        <x:v>Change, Compliance, Schedule</x:v>
      </x:c>
      <x:c r="F2" s="28" t="str">
        <x:v>医院必须在法定停机窗口内更换影像设备。施工范围稳定，但临时提出增加候诊区屏幕。</x:v>
      </x:c>
    </x:row>
    <x:row r="3">
      <x:c r="A3" s="20" t="str">
        <x:v>CASE-PRED-02</x:v>
      </x:c>
      <x:c r="B3" s="20" t="str">
        <x:v>数据中心关键路径</x:v>
      </x:c>
      <x:c r="C3" s="20" t="str">
        <x:v>Process</x:v>
      </x:c>
      <x:c r="D3" s="20" t="str">
        <x:v>Predictive</x:v>
      </x:c>
      <x:c r="E3" s="20" t="str">
        <x:v>Critical Path, Compression</x:v>
      </x:c>
      <x:c r="F3" s="29" t="str">
        <x:v>两条网络路径之一总工期 38 天且浮动为零；设备到货延迟 4 天。</x:v>
      </x:c>
    </x:row>
    <x:row r="4">
      <x:c r="A4" s="20" t="str">
        <x:v>CASE-PRED-03</x:v>
      </x:c>
      <x:c r="B4" s="20" t="str">
        <x:v>固定总价供应商</x:v>
      </x:c>
      <x:c r="C4" s="20" t="str">
        <x:v>Process</x:v>
      </x:c>
      <x:c r="D4" s="20" t="str">
        <x:v>Predictive</x:v>
      </x:c>
      <x:c r="E4" s="20" t="str">
        <x:v>Procurement, Quality</x:v>
      </x:c>
      <x:c r="F4" s="29" t="str">
        <x:v>固定总价合同的供应商称原材料上涨，要求额外付款，否则减配。</x:v>
      </x:c>
    </x:row>
    <x:row r="5">
      <x:c r="A5" s="20" t="str">
        <x:v>CASE-PRED-04</x:v>
      </x:c>
      <x:c r="B5" s="20" t="str">
        <x:v>正式验收与运营移交</x:v>
      </x:c>
      <x:c r="C5" s="20" t="str">
        <x:v>Process</x:v>
      </x:c>
      <x:c r="D5" s="20" t="str">
        <x:v>Predictive</x:v>
      </x:c>
      <x:c r="E5" s="20" t="str">
        <x:v>Acceptance, Transition</x:v>
      </x:c>
      <x:c r="F5" s="29" t="str">
        <x:v>系统通过测试，业务负责人未签验收，运营团队也没有管理员账号。发起人要求立即关闭。</x:v>
      </x:c>
    </x:row>
    <x:row r="6">
      <x:c r="A6" s="20" t="str">
        <x:v>CASE-PRED-05</x:v>
      </x:c>
      <x:c r="B6" s="20" t="str">
        <x:v>安全法规变化</x:v>
      </x:c>
      <x:c r="C6" s="20" t="str">
        <x:v>Business Environment</x:v>
      </x:c>
      <x:c r="D6" s="20" t="str">
        <x:v>Predictive</x:v>
      </x:c>
      <x:c r="E6" s="20" t="str">
        <x:v>Compliance, Change</x:v>
      </x:c>
      <x:c r="F6" s="29" t="str">
        <x:v>施工中法规立即提高高空作业标准，现有方案不合规。</x:v>
      </x:c>
    </x:row>
    <x:row r="7">
      <x:c r="A7" s="20" t="str">
        <x:v>CASE-AGILE-01</x:v>
      </x:c>
      <x:c r="B7" s="20" t="str">
        <x:v>支付产品新需求</x:v>
      </x:c>
      <x:c r="C7" s="20" t="str">
        <x:v>Process</x:v>
      </x:c>
      <x:c r="D7" s="20" t="str">
        <x:v>Agile</x:v>
      </x:c>
      <x:c r="E7" s="20" t="str">
        <x:v>PO, Backlog, Sprint Goal</x:v>
      </x:c>
      <x:c r="F7" s="29" t="str">
        <x:v>Sprint 第四天，销售要求加入大客户折扣功能，当前 Sprint Goal 是修复结算稳定性。</x:v>
      </x:c>
    </x:row>
    <x:row r="8">
      <x:c r="A8" s="20" t="str">
        <x:v>CASE-AGILE-02</x:v>
      </x:c>
      <x:c r="B8" s="20" t="str">
        <x:v>Daily Scrum 变汇报会</x:v>
      </x:c>
      <x:c r="C8" s="20" t="str">
        <x:v>People</x:v>
      </x:c>
      <x:c r="D8" s="20" t="str">
        <x:v>Agile</x:v>
      </x:c>
      <x:c r="E8" s="20" t="str">
        <x:v>Servant Leadership, Daily Scrum</x:v>
      </x:c>
      <x:c r="F8" s="29" t="str">
        <x:v>团队每天向经理逐人汇报，成员之间不协作，阻塞持续三天。</x:v>
      </x:c>
    </x:row>
    <x:row r="9">
      <x:c r="A9" s="20" t="str">
        <x:v>CASE-AGILE-03</x:v>
      </x:c>
      <x:c r="B9" s="20" t="str">
        <x:v>DoD 被降低</x:v>
      </x:c>
      <x:c r="C9" s="20" t="str">
        <x:v>Process</x:v>
      </x:c>
      <x:c r="D9" s="20" t="str">
        <x:v>Agile</x:v>
      </x:c>
      <x:c r="E9" s="20" t="str">
        <x:v>DoD, Metrics, Quality</x:v>
      </x:c>
      <x:c r="F9" s="29" t="str">
        <x:v>为提高 Velocity，团队删除安全扫描和代码评审，点数显著上升。</x:v>
      </x:c>
    </x:row>
    <x:row r="10">
      <x:c r="A10" s="20" t="str">
        <x:v>CASE-AGILE-04</x:v>
      </x:c>
      <x:c r="B10" s="20" t="str">
        <x:v>看板瓶颈</x:v>
      </x:c>
      <x:c r="C10" s="20" t="str">
        <x:v>Process</x:v>
      </x:c>
      <x:c r="D10" s="20" t="str">
        <x:v>Agile</x:v>
      </x:c>
      <x:c r="E10" s="20" t="str">
        <x:v>Kanban, WIP</x:v>
      </x:c>
      <x:c r="F10" s="29" t="str">
        <x:v>测试列 WIP 已达上限，开发列仍不断开始新任务。</x:v>
      </x:c>
    </x:row>
    <x:row r="11">
      <x:c r="A11" s="20" t="str">
        <x:v>CASE-AGILE-05</x:v>
      </x:c>
      <x:c r="B11" s="20" t="str">
        <x:v>Review 与 Retro 混淆</x:v>
      </x:c>
      <x:c r="C11" s="20" t="str">
        <x:v>People</x:v>
      </x:c>
      <x:c r="D11" s="20" t="str">
        <x:v>Agile</x:v>
      </x:c>
      <x:c r="E11" s="20" t="str">
        <x:v>Review, Retrospective</x:v>
      </x:c>
      <x:c r="F11" s="29" t="str">
        <x:v>团队在 Sprint Review 内部讨论成员配合问题，没有邀请关键用户。</x:v>
      </x:c>
    </x:row>
    <x:row r="12">
      <x:c r="A12" s="20" t="str">
        <x:v>CASE-HYB-01</x:v>
      </x:c>
      <x:c r="B12" s="20" t="str">
        <x:v>智慧工厂</x:v>
      </x:c>
      <x:c r="C12" s="20" t="str">
        <x:v>Process</x:v>
      </x:c>
      <x:c r="D12" s="20" t="str">
        <x:v>Hybrid</x:v>
      </x:c>
      <x:c r="E12" s="20" t="str">
        <x:v>Hybrid, Interfaces, AI</x:v>
      </x:c>
      <x:c r="F12" s="29" t="str">
        <x:v>厂房改造必须按固定里程碑施工，AI 排产界面需每两周验证。</x:v>
      </x:c>
    </x:row>
    <x:row r="13">
      <x:c r="A13" s="20" t="str">
        <x:v>CASE-HYB-02</x:v>
      </x:c>
      <x:c r="B13" s="20" t="str">
        <x:v>政府门户</x:v>
      </x:c>
      <x:c r="C13" s="20" t="str">
        <x:v>Business Environment</x:v>
      </x:c>
      <x:c r="D13" s="20" t="str">
        <x:v>Hybrid</x:v>
      </x:c>
      <x:c r="E13" s="20" t="str">
        <x:v>Governance, Backlog</x:v>
      </x:c>
      <x:c r="F13" s="29" t="str">
        <x:v>合同要求阶段门和固定预算，公众服务功能需求仍在探索。</x:v>
      </x:c>
    </x:row>
    <x:row r="14">
      <x:c r="A14" s="20" t="str">
        <x:v>CASE-HYB-03</x:v>
      </x:c>
      <x:c r="B14" s="20" t="str">
        <x:v>多供应商集成</x:v>
      </x:c>
      <x:c r="C14" s="20" t="str">
        <x:v>Process</x:v>
      </x:c>
      <x:c r="D14" s="20" t="str">
        <x:v>Hybrid</x:v>
      </x:c>
      <x:c r="E14" s="20" t="str">
        <x:v>Vendor, Integration</x:v>
      </x:c>
      <x:c r="F14" s="29" t="str">
        <x:v>硬件供应商按月报告百分比，软件团队按 Sprint 交付，接口规格不断变化。</x:v>
      </x:c>
    </x:row>
    <x:row r="15">
      <x:c r="A15" s="20" t="str">
        <x:v>CASE-HYB-04</x:v>
      </x:c>
      <x:c r="B15" s="20" t="str">
        <x:v>滚动式规划误解</x:v>
      </x:c>
      <x:c r="C15" s="20" t="str">
        <x:v>People</x:v>
      </x:c>
      <x:c r="D15" s="20" t="str">
        <x:v>Hybrid</x:v>
      </x:c>
      <x:c r="E15" s="20" t="str">
        <x:v>Rolling Wave, Communication</x:v>
      </x:c>
      <x:c r="F15" s="29" t="str">
        <x:v>治理层认为远期计划不详细就是团队没有计划。</x:v>
      </x:c>
    </x:row>
    <x:row r="16">
      <x:c r="A16" s="20" t="str">
        <x:v>CASE-HYB-05</x:v>
      </x:c>
      <x:c r="B16" s="20" t="str">
        <x:v>敏捷绕过合规</x:v>
      </x:c>
      <x:c r="C16" s="20" t="str">
        <x:v>Business Environment</x:v>
      </x:c>
      <x:c r="D16" s="20" t="str">
        <x:v>Hybrid</x:v>
      </x:c>
      <x:c r="E16" s="20" t="str">
        <x:v>Compliance, Tailoring</x:v>
      </x:c>
      <x:c r="F16" s="29" t="str">
        <x:v>团队称自己敏捷，因此不记录隐私影响评估。</x:v>
      </x:c>
    </x:row>
    <x:row r="17">
      <x:c r="A17" s="20" t="str">
        <x:v>CASE-FUT-01</x:v>
      </x:c>
      <x:c r="B17" s="20" t="str">
        <x:v>AI 风险预测</x:v>
      </x:c>
      <x:c r="C17" s="20" t="str">
        <x:v>AI</x:v>
      </x:c>
      <x:c r="D17" s="20" t="str">
        <x:v>Hybrid</x:v>
      </x:c>
      <x:c r="E17" s="20" t="str">
        <x:v>AI Validation, Procurement</x:v>
      </x:c>
      <x:c r="F17" s="29" t="str">
        <x:v>模型预测供应商违约概率 82%，但训练数据来自另一个国家。</x:v>
      </x:c>
    </x:row>
    <x:row r="18">
      <x:c r="A18" s="20" t="str">
        <x:v>CASE-FUT-02</x:v>
      </x:c>
      <x:c r="B18" s="20" t="str">
        <x:v>客户数据摘要</x:v>
      </x:c>
      <x:c r="C18" s="20" t="str">
        <x:v>AI</x:v>
      </x:c>
      <x:c r="D18" s="20" t="str">
        <x:v>Agile</x:v>
      </x:c>
      <x:c r="E18" s="20" t="str">
        <x:v>Bias, Stakeholders</x:v>
      </x:c>
      <x:c r="F18" s="29" t="str">
        <x:v>团队用生成式 AI 总结访谈，摘要漏掉无障碍用户的核心需求。</x:v>
      </x:c>
    </x:row>
    <x:row r="19">
      <x:c r="A19" s="20" t="str">
        <x:v>CASE-FUT-03</x:v>
      </x:c>
      <x:c r="B19" s="20" t="str">
        <x:v>低碳材料选择</x:v>
      </x:c>
      <x:c r="C19" s="20" t="str">
        <x:v>Sustainability</x:v>
      </x:c>
      <x:c r="D19" s="20" t="str">
        <x:v>Predictive</x:v>
      </x:c>
      <x:c r="E19" s="20" t="str">
        <x:v>Life-cycle, Finance</x:v>
      </x:c>
      <x:c r="F19" s="29" t="str">
        <x:v>材料 A 便宜但运营能耗高；B 初始贵 12% 但十年排放和维护低。</x:v>
      </x:c>
    </x:row>
    <x:row r="20">
      <x:c r="A20" s="20" t="str">
        <x:v>CASE-FUT-04</x:v>
      </x:c>
      <x:c r="B20" s="20" t="str">
        <x:v>供应链劳工风险</x:v>
      </x:c>
      <x:c r="C20" s="20" t="str">
        <x:v>Sustainability</x:v>
      </x:c>
      <x:c r="D20" s="20" t="str">
        <x:v>All</x:v>
      </x:c>
      <x:c r="E20" s="20" t="str">
        <x:v>Social Impact, Procurement</x:v>
      </x:c>
      <x:c r="F20" s="29" t="str">
        <x:v>关键供应商价格最低，但审计发现高概率劳工违规。</x:v>
      </x:c>
    </x:row>
    <x:row r="21">
      <x:c r="A21" s="21" t="str">
        <x:v>CASE-FUT-05</x:v>
      </x:c>
      <x:c r="B21" s="21" t="str">
        <x:v>AI 自动批准变更</x:v>
      </x:c>
      <x:c r="C21" s="21" t="str">
        <x:v>AI</x:v>
      </x:c>
      <x:c r="D21" s="21" t="str">
        <x:v>Predictive</x:v>
      </x:c>
      <x:c r="E21" s="21" t="str">
        <x:v>AI Governance, Change</x:v>
      </x:c>
      <x:c r="F21" s="30" t="str">
        <x:v>公司计划让 AI 对低于 2% 成本的变更自动批准。</x:v>
      </x:c>
    </x:row>
  </x:sheetData>
  <x:pageMargins left="0.7" right="0.7" top="0.75" bottom="0.75" header="0.3" footer="0.3"/>
  <x:tableParts count="1">
    <x:tablePart xmlns:r="http://schemas.openxmlformats.org/officeDocument/2006/relationships" r:id="Raa025782c9ee45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75" hidden="0" customWidth="1"/>
    <x:col min="4" max="4" width="20" hidden="0" customWidth="1"/>
  </x:cols>
  <x:sheetData>
    <x:row r="1" ht="30" customHeight="1">
      <x:c r="A1" s="12" t="str">
        <x:v>Source</x:v>
      </x:c>
      <x:c r="B1" s="13" t="str">
        <x:v>Use</x:v>
      </x:c>
      <x:c r="C1" s="13" t="str">
        <x:v>URL</x:v>
      </x:c>
      <x:c r="D1" s="14" t="str">
        <x:v>Access Note</x:v>
      </x:c>
    </x:row>
    <x:row r="2">
      <x:c r="A2" s="28" t="str">
        <x:v>PMP Examination Content Outline – July 2026</x:v>
      </x:c>
      <x:c r="B2" s="28" t="str">
        <x:v>Exam domains, tasks, weights and exam format</x:v>
      </x:c>
      <x:c r="C2" s="28" t="str">
        <x:v>https://www.pmi.org/-/media/pmi/documents/public/pdf/microsites/announcements/pmp-examination-content-outline-2026.pdf</x:v>
      </x:c>
      <x:c r="D2" s="28" t="str">
        <x:v>Checked 2026-08-17</x:v>
      </x:c>
    </x:row>
    <x:row r="3">
      <x:c r="A3" s="29" t="str">
        <x:v>2026 PMP Exam Update</x:v>
      </x:c>
      <x:c r="B3" s="29" t="str">
        <x:v>Launch date and emphasized topics</x:v>
      </x:c>
      <x:c r="C3" s="29" t="str">
        <x:v>https://www.pmi.org/certifications/project-management-pmp/new-exam</x:v>
      </x:c>
      <x:c r="D3" s="29" t="str">
        <x:v>Checked 2026-08-17</x:v>
      </x:c>
    </x:row>
    <x:row r="4">
      <x:c r="A4" s="29" t="str">
        <x:v>PMBOK Guide – Eighth Edition</x:v>
      </x:c>
      <x:c r="B4" s="29" t="str">
        <x:v>Public edition overview</x:v>
      </x:c>
      <x:c r="C4" s="29" t="str">
        <x:v>https://www.pmi.org/standards/pmbok</x:v>
      </x:c>
      <x:c r="D4" s="29" t="str">
        <x:v>Checked 2026-08-17</x:v>
      </x:c>
    </x:row>
    <x:row r="5">
      <x:c r="A5" s="29" t="str">
        <x:v>PMP Exam Preparation</x:v>
      </x:c>
      <x:c r="B5" s="29" t="str">
        <x:v>Official preparation hub and references</x:v>
      </x:c>
      <x:c r="C5" s="29" t="str">
        <x:v>https://www.pmi.org/certifications/project-management-pmp/pmp-exam-preparation</x:v>
      </x:c>
      <x:c r="D5" s="29" t="str">
        <x:v>Checked 2026-08-17</x:v>
      </x:c>
    </x:row>
    <x:row r="6">
      <x:c r="A6" s="29" t="str">
        <x:v>Sustainability Practice Guide</x:v>
      </x:c>
      <x:c r="B6" s="29" t="str">
        <x:v>Public sustainability overview</x:v>
      </x:c>
      <x:c r="C6" s="29" t="str">
        <x:v>https://www.pmi.org/standards/gpm-practice-guide-for-sustainability-in-project-management</x:v>
      </x:c>
      <x:c r="D6" s="29" t="str">
        <x:v>Checked 2026-08-17</x:v>
      </x:c>
    </x:row>
    <x:row r="7">
      <x:c r="A7" s="30" t="str">
        <x:v>Artificial Intelligence Standards Hub</x:v>
      </x:c>
      <x:c r="B7" s="30" t="str">
        <x:v>Public AI standards overview</x:v>
      </x:c>
      <x:c r="C7" s="30" t="str">
        <x:v>https://www.pmi.org/standards/artificial-intelligence</x:v>
      </x:c>
      <x:c r="D7" s="30" t="str">
        <x:v>Checked 2026-08-17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0" customHeight="1">
      <x:c r="A1" s="12" t="str">
        <x:v>Status 状态</x:v>
      </x:c>
      <x:c r="B1" s="13" t="str">
        <x:v>Error Code 错因</x:v>
      </x:c>
      <x:c r="C1" s="13" t="str">
        <x:v>Result 结果</x:v>
      </x:c>
      <x:c r="D1" s="14" t="str">
        <x:v>Priority 优先级</x:v>
      </x:c>
    </x:row>
    <x:row r="2">
      <x:c r="A2" t="str">
        <x:v>Not Started 未学</x:v>
      </x:c>
      <x:c r="B2" t="str">
        <x:v>K 知识</x:v>
      </x:c>
      <x:c r="C2" t="str">
        <x:v>Correct 正确</x:v>
      </x:c>
      <x:c r="D2" t="str">
        <x:v>🔴 必考 Must Know</x:v>
      </x:c>
    </x:row>
    <x:row r="3">
      <x:c r="A3" t="str">
        <x:v>Learning 学习中</x:v>
      </x:c>
      <x:c r="B3" t="str">
        <x:v>C 理解</x:v>
      </x:c>
      <x:c r="C3" t="str">
        <x:v>Incorrect 错误</x:v>
      </x:c>
      <x:c r="D3" t="str">
        <x:v>🟠 高频 High Frequency</x:v>
      </x:c>
    </x:row>
    <x:row r="4">
      <x:c r="A4" t="str">
        <x:v>Unstable 掌握不稳定</x:v>
      </x:c>
      <x:c r="B4" t="str">
        <x:v>M 混淆</x:v>
      </x:c>
      <x:c r="D4" t="str">
        <x:v>🟡 易错 Easy to Confuse</x:v>
      </x:c>
    </x:row>
    <x:row r="5">
      <x:c r="A5" t="str">
        <x:v>Mastered 已掌握</x:v>
      </x:c>
      <x:c r="B5" t="str">
        <x:v>R 推理</x:v>
      </x:c>
      <x:c r="D5" t="str">
        <x:v>⚪ 了解 Awareness</x:v>
      </x:c>
    </x:row>
    <x:row r="6">
      <x:c r="B6" t="str">
        <x:v>Q 审题</x:v>
      </x:c>
    </x:row>
    <x:row r="7">
      <x:c r="B7" t="str">
        <x:v>E 表达</x:v>
      </x:c>
    </x:row>
  </x:sheetData>
  <x:pageMargins left="0.7" right="0.7" top="0.75" bottom="0.75" header="0.3" footer="0.3"/>
</x:worksheet>
</file>